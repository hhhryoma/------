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" sheetId="1" state="visible" r:id="rId1"/>
    <sheet xmlns:r="http://schemas.openxmlformats.org/officeDocument/2006/relationships" name="内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作業</t>
        </is>
      </c>
      <c r="C1" t="inlineStr">
        <is>
          <t>担当</t>
        </is>
      </c>
      <c r="D1" t="inlineStr">
        <is>
          <t>工数（人日）</t>
        </is>
      </c>
      <c r="E1" t="inlineStr">
        <is>
          <t>単価</t>
        </is>
      </c>
      <c r="F1" t="inlineStr">
        <is>
          <t>金額</t>
        </is>
      </c>
    </row>
    <row r="2">
      <c r="A2" t="n">
        <v>1</v>
      </c>
      <c r="B2" t="inlineStr">
        <is>
          <t>要件定義</t>
        </is>
      </c>
      <c r="C2" t="inlineStr">
        <is>
          <t>SE</t>
        </is>
      </c>
      <c r="D2" t="n">
        <v>5</v>
      </c>
      <c r="E2" t="n">
        <v>50000</v>
      </c>
      <c r="F2">
        <f>D2*E2</f>
        <v/>
      </c>
    </row>
    <row r="3">
      <c r="A3" t="n">
        <v>2</v>
      </c>
      <c r="B3" t="inlineStr">
        <is>
          <t>基本設計</t>
        </is>
      </c>
      <c r="C3" t="inlineStr">
        <is>
          <t>SE</t>
        </is>
      </c>
      <c r="D3" t="n">
        <v>10</v>
      </c>
      <c r="E3" t="n">
        <v>50000</v>
      </c>
      <c r="F3">
        <f>D3*E3</f>
        <v/>
      </c>
    </row>
    <row r="4">
      <c r="A4" t="n">
        <v>3</v>
      </c>
      <c r="B4" t="inlineStr">
        <is>
          <t>詳細設計</t>
        </is>
      </c>
      <c r="C4" t="inlineStr">
        <is>
          <t>PG</t>
        </is>
      </c>
      <c r="D4" t="n">
        <v>15</v>
      </c>
      <c r="E4" t="n">
        <v>40000</v>
      </c>
      <c r="F4">
        <f>D4*E3</f>
        <v/>
      </c>
    </row>
    <row r="5">
      <c r="A5" t="n">
        <v>4</v>
      </c>
      <c r="B5" t="inlineStr">
        <is>
          <t>製造</t>
        </is>
      </c>
      <c r="C5" t="inlineStr">
        <is>
          <t>SE</t>
        </is>
      </c>
      <c r="D5" t="n">
        <v>20</v>
      </c>
      <c r="E5" t="n">
        <v>45000</v>
      </c>
      <c r="F5">
        <f>D5*E5</f>
        <v/>
      </c>
    </row>
    <row r="6">
      <c r="A6" t="n">
        <v>5</v>
      </c>
      <c r="B6" t="inlineStr">
        <is>
          <t>単体テスト</t>
        </is>
      </c>
      <c r="C6" t="inlineStr">
        <is>
          <t>PG</t>
        </is>
      </c>
      <c r="D6" t="n">
        <v>10</v>
      </c>
      <c r="E6" t="n">
        <v>40000</v>
      </c>
      <c r="F6" t="n">
        <v>900000</v>
      </c>
    </row>
    <row r="7">
      <c r="A7" t="n">
        <v>6</v>
      </c>
      <c r="B7" t="inlineStr">
        <is>
          <t>結合テスト</t>
        </is>
      </c>
      <c r="C7" t="inlineStr">
        <is>
          <t>PG</t>
        </is>
      </c>
      <c r="D7" t="inlineStr">
        <is>
          <t>8</t>
        </is>
      </c>
      <c r="E7" t="n">
        <v>40000</v>
      </c>
      <c r="F7">
        <f>D7*E7</f>
        <v/>
      </c>
    </row>
    <row r="8">
      <c r="B8" t="inlineStr">
        <is>
          <t>総合テスト</t>
        </is>
      </c>
      <c r="C8" t="inlineStr">
        <is>
          <t>PG</t>
        </is>
      </c>
      <c r="D8" t="n">
        <v>12</v>
      </c>
      <c r="E8" t="n">
        <v>40000</v>
      </c>
      <c r="F8">
        <f>D8*E8</f>
        <v/>
      </c>
    </row>
    <row r="9">
      <c r="B9" t="inlineStr">
        <is>
          <t>小計</t>
        </is>
      </c>
      <c r="D9">
        <f>SUM(D2:D7)</f>
        <v/>
      </c>
      <c r="F9">
        <f>SUM(F2:F8)</f>
        <v/>
      </c>
    </row>
    <row r="10">
      <c r="B10" t="inlineStr">
        <is>
          <t>合計</t>
        </is>
      </c>
      <c r="F10" t="n">
        <v>4000000</v>
      </c>
    </row>
    <row r="11">
      <c r="B11" t="inlineStr">
        <is>
          <t>人月</t>
        </is>
      </c>
      <c r="D11">
        <f>D9/20</f>
        <v/>
      </c>
    </row>
    <row r="12">
      <c r="B12" t="inlineStr">
        <is>
          <t>消費税</t>
        </is>
      </c>
      <c r="F12">
        <f>ROUNDDOWN(F9*0.1,0)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工数（人日）</t>
        </is>
      </c>
      <c r="C1" t="inlineStr">
        <is>
          <t>人月</t>
        </is>
      </c>
      <c r="D1" t="inlineStr">
        <is>
          <t>金額</t>
        </is>
      </c>
    </row>
    <row r="2">
      <c r="A2" t="inlineStr">
        <is>
          <t>設計</t>
        </is>
      </c>
      <c r="B2" t="n">
        <v>30</v>
      </c>
      <c r="C2">
        <f>B2/21</f>
        <v/>
      </c>
      <c r="D2">
        <f>ROUND(C2*1000000,-3)</f>
        <v/>
      </c>
    </row>
    <row r="3">
      <c r="A3" t="inlineStr">
        <is>
          <t>製造</t>
        </is>
      </c>
      <c r="B3" t="n">
        <v>20</v>
      </c>
      <c r="C3">
        <f>B3/20</f>
        <v/>
      </c>
      <c r="D3">
        <f>ROUNDDOWN(C3*1000000,-3)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2026-10-17T18:35:01Z</dcterms:created>
  <dcterms:modified xmlns:dcterms="http://purl.org/dc/terms/" xmlns:xsi="http://www.w3.org/2001/XMLSchema-instance" xsi:type="dcterms:W3CDTF">2026-10-17T18:35:01Z</dcterms:modified>
</cp:coreProperties>
</file>