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見積" sheetId="1" state="visible" r:id="rId3"/>
    <sheet name="内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<sst xmlns="http://schemas.openxmlformats.org/spreadsheetml/2006/main" count="31" uniqueCount="22">
  <si>
    <t xml:space="preserve">No</t>
  </si>
  <si>
    <t xml:space="preserve">作業</t>
  </si>
  <si>
    <t xml:space="preserve">担当</t>
  </si>
  <si>
    <t xml:space="preserve">工数（人日）</t>
  </si>
  <si>
    <t xml:space="preserve">単価</t>
  </si>
  <si>
    <t xml:space="preserve">金額</t>
  </si>
  <si>
    <t xml:space="preserve">要件定義</t>
  </si>
  <si>
    <t xml:space="preserve">SE</t>
  </si>
  <si>
    <t xml:space="preserve">基本設計</t>
  </si>
  <si>
    <t xml:space="preserve">詳細設計</t>
  </si>
  <si>
    <t xml:space="preserve">PG</t>
  </si>
  <si>
    <t xml:space="preserve">製造</t>
  </si>
  <si>
    <t xml:space="preserve">単体テスト</t>
  </si>
  <si>
    <t xml:space="preserve">結合テスト</t>
  </si>
  <si>
    <t xml:space="preserve">8</t>
  </si>
  <si>
    <t xml:space="preserve">総合テスト</t>
  </si>
  <si>
    <t xml:space="preserve">小計</t>
  </si>
  <si>
    <t xml:space="preserve">合計</t>
  </si>
  <si>
    <t xml:space="preserve">人月</t>
  </si>
  <si>
    <t xml:space="preserve">消費税</t>
  </si>
  <si>
    <t xml:space="preserve">区分</t>
  </si>
  <si>
    <t xml:space="preserve">設計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</si>
</sst>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1" t="s">
        <v>6</v>
      </c>
      <c r="C2" s="0" t="s">
        <v>7</v>
      </c>
      <c r="D2" s="0" t="n">
        <v>5</v>
      </c>
      <c r="E2" s="0" t="n">
        <v>50000</v>
      </c>
      <c r="F2" s="0" t="n">
        <f aca="false">D2*E2</f>
        <v>250000</v>
      </c>
    </row>
    <row r="3" customFormat="false" ht="15" hidden="false" customHeight="false" outlineLevel="0" collapsed="false">
      <c r="A3" s="0" t="n">
        <v>2</v>
      </c>
      <c r="B3" s="1" t="s">
        <v>8</v>
      </c>
      <c r="C3" s="0" t="s">
        <v>7</v>
      </c>
      <c r="D3" s="0" t="n">
        <v>10</v>
      </c>
      <c r="E3" s="0" t="n">
        <v>50000</v>
      </c>
      <c r="F3" s="0" t="n">
        <f aca="false">D3*E3</f>
        <v>500000</v>
      </c>
    </row>
    <row r="4" customFormat="false" ht="15" hidden="false" customHeight="false" outlineLevel="0" collapsed="false">
      <c r="A4" s="0" t="n">
        <v>3</v>
      </c>
      <c r="B4" s="1" t="s">
        <v>9</v>
      </c>
      <c r="C4" s="0" t="s">
        <v>10</v>
      </c>
      <c r="D4" s="0" t="n">
        <v>15</v>
      </c>
      <c r="E4" s="0" t="n">
        <v>40000</v>
      </c>
      <c r="F4" s="0" t="n">
        <f aca="false">D4*E3</f>
        <v>750000</v>
      </c>
    </row>
    <row r="5" customFormat="false" ht="15" hidden="false" customHeight="false" outlineLevel="0" collapsed="false">
      <c r="A5" s="0" t="n">
        <v>4</v>
      </c>
      <c r="B5" s="1" t="s">
        <v>11</v>
      </c>
      <c r="C5" s="0" t="s">
        <v>7</v>
      </c>
      <c r="D5" s="0" t="n">
        <v>20</v>
      </c>
      <c r="E5" s="0" t="n">
        <v>45000</v>
      </c>
      <c r="F5" s="0" t="n">
        <f aca="false">D5*E5</f>
        <v>900000</v>
      </c>
    </row>
    <row r="6" customFormat="false" ht="15" hidden="false" customHeight="false" outlineLevel="0" collapsed="false">
      <c r="A6" s="0" t="n">
        <v>5</v>
      </c>
      <c r="B6" s="1" t="s">
        <v>12</v>
      </c>
      <c r="C6" s="0" t="s">
        <v>10</v>
      </c>
      <c r="D6" s="0" t="n">
        <v>10</v>
      </c>
      <c r="E6" s="0" t="n">
        <v>40000</v>
      </c>
      <c r="F6" s="0" t="n">
        <v>900000</v>
      </c>
    </row>
    <row r="7" customFormat="false" ht="15" hidden="false" customHeight="false" outlineLevel="0" collapsed="false">
      <c r="A7" s="0" t="n">
        <v>6</v>
      </c>
      <c r="B7" s="1" t="s">
        <v>13</v>
      </c>
      <c r="C7" s="0" t="s">
        <v>10</v>
      </c>
      <c r="D7" s="0" t="s">
        <v>14</v>
      </c>
      <c r="E7" s="0" t="n">
        <v>40000</v>
      </c>
      <c r="F7" s="0" t="n">
        <f aca="false">D7*E7</f>
        <v>320000</v>
      </c>
    </row>
    <row r="8" customFormat="false" ht="15" hidden="false" customHeight="false" outlineLevel="0" collapsed="false">
      <c r="B8" s="1" t="s">
        <v>15</v>
      </c>
      <c r="C8" s="0" t="s">
        <v>10</v>
      </c>
      <c r="D8" s="0" t="n">
        <v>12</v>
      </c>
      <c r="E8" s="0" t="n">
        <v>40000</v>
      </c>
      <c r="F8" s="0" t="n">
        <f aca="false">D8*E8</f>
        <v>480000</v>
      </c>
    </row>
    <row r="9" customFormat="false" ht="15" hidden="false" customHeight="false" outlineLevel="0" collapsed="false">
      <c r="B9" s="1" t="s">
        <v>16</v>
      </c>
      <c r="D9" s="0" t="n">
        <f aca="false">SUM(D2:D7)</f>
        <v>60</v>
      </c>
      <c r="F9" s="0" t="n">
        <f aca="false">SUM(F2:F8)</f>
        <v>4100000</v>
      </c>
    </row>
    <row r="10" customFormat="false" ht="15" hidden="false" customHeight="false" outlineLevel="0" collapsed="false">
      <c r="B10" s="1" t="s">
        <v>17</v>
      </c>
      <c r="F10" s="0" t="n">
        <v>4000000</v>
      </c>
    </row>
    <row r="11" customFormat="false" ht="15" hidden="false" customHeight="false" outlineLevel="0" collapsed="false">
      <c r="B11" s="1" t="s">
        <v>18</v>
      </c>
      <c r="D11" s="0" t="n">
        <f aca="false">D9/20</f>
        <v>3</v>
      </c>
    </row>
    <row r="12" customFormat="false" ht="15" hidden="false" customHeight="false" outlineLevel="0" collapsed="false">
      <c r="B12" s="1" t="s">
        <v>19</v>
      </c>
      <c r="F12" s="0" t="n">
        <f aca="false">ROUNDDOWN(F9*0.1,0)</f>
        <v>410000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3</v>
      </c>
      <c r="C1" s="1" t="s">
        <v>18</v>
      </c>
      <c r="D1" s="1" t="s">
        <v>5</v>
      </c>
    </row>
    <row r="2" customFormat="false" ht="15" hidden="false" customHeight="false" outlineLevel="0" collapsed="false">
      <c r="A2" s="1" t="s">
        <v>21</v>
      </c>
      <c r="B2" s="0" t="n">
        <v>30</v>
      </c>
      <c r="C2" s="0" t="n">
        <f aca="false">B2/21</f>
        <v>1.42857142857143</v>
      </c>
      <c r="D2" s="0" t="n">
        <f aca="false">ROUND(C2*1000000,-3)</f>
        <v>1429000</v>
      </c>
    </row>
    <row r="3" customFormat="false" ht="15" hidden="false" customHeight="false" outlineLevel="0" collapsed="false">
      <c r="A3" s="1" t="s">
        <v>11</v>
      </c>
      <c r="B3" s="0" t="n">
        <v>20</v>
      </c>
      <c r="C3" s="0" t="n">
        <f aca="false">B3/20</f>
        <v>1</v>
      </c>
      <c r="D3" s="0" t="n">
        <f aca="false">ROUNDDOWN(C3*1000000,-3)</f>
        <v>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2026-10-17T18:35:01Z</dcterms:created>
  <dc:creator/>
  <dc:description/>
  <dc:language>en-US</dc:language>
  <cp:lastModifiedBy/>
  <dcterms:modified xsi:type="dcterms:W3CDTF">2026-10-17T18:35:01Z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