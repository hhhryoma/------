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  <sheet xmlns:r="http://schemas.openxmlformats.org/officeDocument/2006/relationships" name="集計 A1" sheetId="2" state="visible" r:id="rId2"/>
  </sheets>
  <definedNames>
    <definedName name="税率">明細!$J$1</definedName>
    <definedName name="対象" localSheetId="0">明細!$A$2:$A$6</definedName>
    <definedName name="_xlnm.Print_Area" localSheetId="0">明細!$A$1:$G$11</definedName>
    <definedName name="_xlnm._FilterDatabase" localSheetId="0" hidden="1">明細!$A$1:$G$6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</t>
        </is>
      </c>
      <c r="B1" t="inlineStr">
        <is>
          <t>単価</t>
        </is>
      </c>
      <c r="C1" t="inlineStr">
        <is>
          <t>金額</t>
        </is>
      </c>
      <c r="D1" t="inlineStr">
        <is>
          <t>累計</t>
        </is>
      </c>
      <c r="E1" t="inlineStr">
        <is>
          <t>判定</t>
        </is>
      </c>
      <c r="F1" t="inlineStr">
        <is>
          <t>状態</t>
        </is>
      </c>
      <c r="G1" t="inlineStr">
        <is>
          <t>担当</t>
        </is>
      </c>
      <c r="I1" t="inlineStr">
        <is>
          <t>税率</t>
        </is>
      </c>
      <c r="J1" t="n">
        <v>0.1</v>
      </c>
    </row>
    <row r="2">
      <c r="A2" t="n">
        <v>1</v>
      </c>
      <c r="B2" t="n">
        <v>100</v>
      </c>
      <c r="C2">
        <f t="shared" ref="C2:C6" si="0">ROUND(A2*B2*(1+税率),0)</f>
        <v/>
      </c>
      <c r="D2">
        <f t="shared" ref="D2:D6" si="1">SUM($C$2:C2)</f>
        <v/>
      </c>
      <c r="E2">
        <f t="shared" ref="E2:E6" si="2">IF(A2&gt;3,"A2以上",'集計 A1'!$B$1)</f>
        <v/>
      </c>
    </row>
    <row r="3">
      <c r="A3" t="n">
        <v>2</v>
      </c>
      <c r="B3" t="n">
        <v>200</v>
      </c>
      <c r="C3">
        <f t="shared" si="0"/>
        <v/>
      </c>
      <c r="D3">
        <f t="shared" si="1"/>
        <v/>
      </c>
      <c r="E3">
        <f t="shared" si="2"/>
        <v/>
      </c>
    </row>
    <row r="4">
      <c r="A4" t="n">
        <v>3</v>
      </c>
      <c r="B4" t="n">
        <v>300</v>
      </c>
      <c r="C4">
        <f t="shared" si="0"/>
        <v/>
      </c>
      <c r="D4">
        <f t="shared" si="1"/>
        <v/>
      </c>
      <c r="E4">
        <f t="shared" si="2"/>
        <v/>
      </c>
    </row>
    <row r="5">
      <c r="A5" t="n">
        <v>4</v>
      </c>
      <c r="B5" t="n">
        <v>400</v>
      </c>
      <c r="C5">
        <f t="shared" si="0"/>
        <v/>
      </c>
      <c r="D5">
        <f t="shared" si="1"/>
        <v/>
      </c>
      <c r="E5">
        <f t="shared" si="2"/>
        <v/>
      </c>
    </row>
    <row r="6">
      <c r="A6" t="n">
        <v>5</v>
      </c>
      <c r="B6" t="n">
        <v>500</v>
      </c>
      <c r="C6">
        <f t="shared" si="0"/>
        <v/>
      </c>
      <c r="D6">
        <f t="shared" si="1"/>
        <v/>
      </c>
      <c r="E6">
        <f t="shared" si="2"/>
        <v/>
      </c>
    </row>
    <row r="8">
      <c r="A8" t="inlineStr">
        <is>
          <t>件数</t>
        </is>
      </c>
      <c r="B8">
        <f t="shared" ref="B8:C8" si="3">COUNTA(B:B)</f>
        <v/>
      </c>
      <c r="C8">
        <f t="shared" si="3"/>
        <v/>
      </c>
    </row>
    <row r="10">
      <c r="A10">
        <f t="shared" ref="A10:A11" si="4">SUM(2:2)</f>
        <v/>
      </c>
    </row>
    <row r="11">
      <c r="A11">
        <f t="shared" si="4"/>
        <v/>
      </c>
    </row>
  </sheetData>
  <dataValidations count="1">
    <dataValidation sqref="F2:F6" showDropDown="0" showInputMessage="1" showErrorMessage="1" allowBlank="1" errorTitle="入力エラー" error="リストから選んでください" promptTitle="状態" prompt="未着手・対応中・完了から選んでください" type="list">
      <formula1>"未着手,対応中,完了"</formula1>
    </dataValidation>
  </dataValidations>
  <pageMargins left="0.75" right="0.75" top="1" bottom="1" header="0.5" footer="0.5"/>
  <headerFooter>
    <oddHeader>&amp;L&amp;"ＭＳ ゴシック,太字"受注管理&amp;"ＭＳ ゴシック,標準"システム&amp;R&amp;D</oddHeader>
    <oddFooter>&amp;C&amp;P / &amp;N&amp;R株式会社A&amp;&amp;B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'集計 A1'!$A$1:$A$3</xm:f>
          </x14:formula1>
          <xm:sqref>G2:G6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山田</t>
        </is>
      </c>
      <c r="B1" t="inlineStr">
        <is>
          <t>対象外</t>
        </is>
      </c>
    </row>
    <row r="2">
      <c r="A2" t="inlineStr">
        <is>
          <t>佐藤</t>
        </is>
      </c>
    </row>
    <row r="3">
      <c r="A3" t="inlineStr">
        <is>
          <t>鈴木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2026-10-20T18:00:00Z</dcterms:created>
  <dcterms:modified xmlns:dcterms="http://purl.org/dc/terms/" xmlns:xsi="http://www.w3.org/2001/XMLSchema-instance" xsi:type="dcterms:W3CDTF">2026-10-20T18:00:00Z</dcterms:modified>
</cp:coreProperties>
</file>