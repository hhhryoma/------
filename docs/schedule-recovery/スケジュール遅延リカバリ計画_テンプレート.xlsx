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記入ガイド" sheetId="1" state="visible" r:id="rId1"/>
    <sheet name="01_サマリ" sheetId="2" state="visible" r:id="rId2"/>
    <sheet name="02_遅延状況" sheetId="3" state="visible" r:id="rId3"/>
    <sheet name="03_原因分析" sheetId="4" state="visible" r:id="rId4"/>
    <sheet name="04_リカバリ施策" sheetId="5" state="visible" r:id="rId5"/>
    <sheet name="05_新スケジュール" sheetId="6" state="visible" r:id="rId6"/>
    <sheet name="06_影響・リスク" sheetId="7" state="visible" r:id="rId7"/>
    <sheet name="07_アクション管理" sheetId="8" state="visible" r:id="rId8"/>
    <sheet name="08_週次モニタリン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/mm/dd"/>
    <numFmt numFmtId="165" formatCode="#,##0&quot;日&quot;;-#,##0&quot;日&quot;;&quot;-&quot;"/>
    <numFmt numFmtId="166" formatCode="#,##0&quot;件&quot;"/>
    <numFmt numFmtId="167" formatCode="#,##0&quot;円&quot;;-#,##0&quot;円&quot;;&quot;-&quot;"/>
    <numFmt numFmtId="168" formatCode="0.0%"/>
    <numFmt numFmtId="169" formatCode="yyyy-mm-dd"/>
  </numFmts>
  <fonts count="10">
    <font>
      <name val="Calibri"/>
      <family val="2"/>
      <color theme="1"/>
      <sz val="11"/>
      <scheme val="minor"/>
    </font>
    <font>
      <name val="Meiryo UI"/>
      <b val="1"/>
      <color rgb="001F4E79"/>
      <sz val="14"/>
    </font>
    <font>
      <name val="Meiryo UI"/>
      <i val="1"/>
      <color rgb="007F7F7F"/>
      <sz val="9"/>
    </font>
    <font>
      <name val="Meiryo UI"/>
      <b val="1"/>
      <color rgb="001F4E79"/>
      <sz val="10"/>
    </font>
    <font>
      <name val="Meiryo UI"/>
      <b val="1"/>
      <color rgb="00FFFFFF"/>
      <sz val="10"/>
    </font>
    <font>
      <name val="Meiryo UI"/>
      <sz val="10"/>
    </font>
    <font>
      <name val="Meiryo UI"/>
      <color rgb="000000FF"/>
      <sz val="10"/>
    </font>
    <font>
      <name val="Meiryo UI"/>
      <b val="1"/>
      <sz val="10"/>
    </font>
    <font>
      <name val="Meiryo UI"/>
      <color rgb="00000000"/>
      <sz val="10"/>
    </font>
    <font>
      <name val="Meiryo UI"/>
      <i val="1"/>
      <color rgb="00833C00"/>
      <sz val="9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BE5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top" wrapText="1"/>
    </xf>
    <xf numFmtId="164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center" vertical="center" wrapText="1"/>
    </xf>
    <xf numFmtId="168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8" fontId="9" fillId="6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7" fontId="6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5" fillId="0" borderId="1" pivotButton="0" quotePrefix="0" xfId="0"/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30" customWidth="1" min="4" max="4"/>
    <col width="14" customWidth="1" min="5" max="5"/>
    <col width="22" customWidth="1" min="6" max="6"/>
  </cols>
  <sheetData>
    <row r="1" ht="26" customHeight="1">
      <c r="A1" s="1" t="inlineStr">
        <is>
          <t>スケジュール遅延リカバリ計画　記入ガイド</t>
        </is>
      </c>
    </row>
    <row r="2" ht="16" customHeight="1">
      <c r="A2" s="2" t="inlineStr">
        <is>
          <t>本ブックは、遅延の発生した案件について「状況／原因／リカバリ策／新スケジュール／影響」を顧客（発注元）へご報告するための汎用テンプレートです。</t>
        </is>
      </c>
    </row>
    <row r="4" ht="20" customHeight="1">
      <c r="A4" s="3" t="inlineStr">
        <is>
          <t>1. 作成手順（この順番で埋めると矛盾が出ません）</t>
        </is>
      </c>
      <c r="B4" s="4" t="n"/>
      <c r="C4" s="4" t="n"/>
      <c r="D4" s="4" t="n"/>
      <c r="E4" s="4" t="n"/>
      <c r="F4" s="4" t="n"/>
    </row>
    <row r="5" ht="22" customHeight="1">
      <c r="A5" s="5" t="inlineStr">
        <is>
          <t>STEP</t>
        </is>
      </c>
      <c r="B5" s="5" t="inlineStr">
        <is>
          <t>対象シート</t>
        </is>
      </c>
      <c r="C5" s="5" t="inlineStr">
        <is>
          <t>作業内容</t>
        </is>
      </c>
      <c r="D5" s="6" t="n"/>
      <c r="E5" s="6" t="n"/>
      <c r="F5" s="7" t="n"/>
    </row>
    <row r="6" ht="30" customHeight="1">
      <c r="A6" s="8" t="inlineStr">
        <is>
          <t>STEP 1</t>
        </is>
      </c>
      <c r="B6" s="8" t="inlineStr">
        <is>
          <t>02_遅延状況</t>
        </is>
      </c>
      <c r="C6" s="9" t="inlineStr">
        <is>
          <t>遅延しているタスクを洗い出し、当初日程と実績／見込日程を入れる。遅延日数は自動計算されます。</t>
        </is>
      </c>
      <c r="D6" s="9" t="n"/>
      <c r="E6" s="9" t="n"/>
      <c r="F6" s="9" t="n"/>
    </row>
    <row r="7" ht="30" customHeight="1">
      <c r="A7" s="8" t="inlineStr">
        <is>
          <t>STEP 2</t>
        </is>
      </c>
      <c r="B7" s="8" t="inlineStr">
        <is>
          <t>03_原因分析</t>
        </is>
      </c>
      <c r="C7" s="9" t="inlineStr">
        <is>
          <t>STEP1の各タスクについて、事象→直接原因→真因（なぜなぜ）を分解し、再発防止策まで書く。</t>
        </is>
      </c>
      <c r="D7" s="9" t="n"/>
      <c r="E7" s="9" t="n"/>
      <c r="F7" s="9" t="n"/>
    </row>
    <row r="8" ht="30" customHeight="1">
      <c r="A8" s="8" t="inlineStr">
        <is>
          <t>STEP 3</t>
        </is>
      </c>
      <c r="B8" s="8" t="inlineStr">
        <is>
          <t>04_リカバリ施策</t>
        </is>
      </c>
      <c r="C8" s="9" t="inlineStr">
        <is>
          <t>打てる手を列挙し、短縮見込日数・追加コスト・品質リスクを見積る。採否を決め、案A/B/Cとして比較表にまとめる。</t>
        </is>
      </c>
      <c r="D8" s="9" t="n"/>
      <c r="E8" s="9" t="n"/>
      <c r="F8" s="9" t="n"/>
    </row>
    <row r="9" ht="30" customHeight="1">
      <c r="A9" s="8" t="inlineStr">
        <is>
          <t>STEP 4</t>
        </is>
      </c>
      <c r="B9" s="8" t="inlineStr">
        <is>
          <t>05_新スケジュール</t>
        </is>
      </c>
      <c r="C9" s="9" t="inlineStr">
        <is>
          <t>採用施策を織り込んだ新しいマイルストーンと最終納品日を確定させる。前提条件は必ず明記。</t>
        </is>
      </c>
      <c r="D9" s="9" t="n"/>
      <c r="E9" s="9" t="n"/>
      <c r="F9" s="9" t="n"/>
    </row>
    <row r="10" ht="30" customHeight="1">
      <c r="A10" s="8" t="inlineStr">
        <is>
          <t>STEP 5</t>
        </is>
      </c>
      <c r="B10" s="8" t="inlineStr">
        <is>
          <t>06_影響・リスク</t>
        </is>
      </c>
      <c r="C10" s="9" t="inlineStr">
        <is>
          <t>納期・コスト・品質・体制への影響を整理し、リカバリ計画自体のリスクと対応策を洗い出す。</t>
        </is>
      </c>
      <c r="D10" s="9" t="n"/>
      <c r="E10" s="9" t="n"/>
      <c r="F10" s="9" t="n"/>
    </row>
    <row r="11" ht="30" customHeight="1">
      <c r="A11" s="8" t="inlineStr">
        <is>
          <t>STEP 6</t>
        </is>
      </c>
      <c r="B11" s="8" t="inlineStr">
        <is>
          <t>07_アクション管理</t>
        </is>
      </c>
      <c r="C11" s="9" t="inlineStr">
        <is>
          <t>誰が・何を・いつまでに を確定。以後はこのシートで進捗を管理します。</t>
        </is>
      </c>
      <c r="D11" s="9" t="n"/>
      <c r="E11" s="9" t="n"/>
      <c r="F11" s="9" t="n"/>
    </row>
    <row r="12" ht="30" customHeight="1">
      <c r="A12" s="8" t="inlineStr">
        <is>
          <t>STEP 7</t>
        </is>
      </c>
      <c r="B12" s="8" t="inlineStr">
        <is>
          <t>01_サマリ</t>
        </is>
      </c>
      <c r="C12" s="9" t="inlineStr">
        <is>
          <t>最後にサマリを記入。数値は各シートから自動参照されるため、文章欄（趣旨・原因・方針・お願い）だけ埋めます。</t>
        </is>
      </c>
      <c r="D12" s="9" t="n"/>
      <c r="E12" s="9" t="n"/>
      <c r="F12" s="9" t="n"/>
    </row>
    <row r="13" ht="30" customHeight="1">
      <c r="A13" s="8" t="inlineStr">
        <is>
          <t>STEP 8</t>
        </is>
      </c>
      <c r="B13" s="8" t="inlineStr">
        <is>
          <t>08_週次モニタリング</t>
        </is>
      </c>
      <c r="C13" s="9" t="inlineStr">
        <is>
          <t>計画確定後、週次で計画／実績を入力し、回復状況をお客様へ定点報告します。</t>
        </is>
      </c>
      <c r="D13" s="9" t="n"/>
      <c r="E13" s="9" t="n"/>
      <c r="F13" s="9" t="n"/>
    </row>
    <row r="15" ht="20" customHeight="1">
      <c r="A15" s="3" t="inlineStr">
        <is>
          <t>2. セルの色の意味</t>
        </is>
      </c>
      <c r="B15" s="4" t="n"/>
      <c r="C15" s="4" t="n"/>
      <c r="D15" s="4" t="n"/>
      <c r="E15" s="4" t="n"/>
      <c r="F15" s="4" t="n"/>
    </row>
    <row r="16" ht="22" customHeight="1">
      <c r="A16" s="5" t="inlineStr"/>
      <c r="B16" s="5" t="inlineStr">
        <is>
          <t>区分</t>
        </is>
      </c>
      <c r="C16" s="5" t="inlineStr">
        <is>
          <t>説明</t>
        </is>
      </c>
      <c r="D16" s="6" t="n"/>
      <c r="E16" s="6" t="n"/>
      <c r="F16" s="7" t="n"/>
    </row>
    <row r="17" ht="22" customHeight="1">
      <c r="A17" s="10" t="inlineStr"/>
      <c r="B17" s="11" t="inlineStr">
        <is>
          <t>記入セル（淡黄・青文字）</t>
        </is>
      </c>
      <c r="C17" s="9" t="inlineStr">
        <is>
          <t>ご自身で入力する欄です。ここだけ埋めれば資料が完成します。</t>
        </is>
      </c>
      <c r="D17" s="9" t="n"/>
      <c r="E17" s="9" t="n"/>
      <c r="F17" s="9" t="n"/>
    </row>
    <row r="18" ht="22" customHeight="1">
      <c r="A18" s="12" t="inlineStr"/>
      <c r="B18" s="11" t="inlineStr">
        <is>
          <t>自動計算セル（淡灰・黒文字）</t>
        </is>
      </c>
      <c r="C18" s="9" t="inlineStr">
        <is>
          <t>数式が入っています。上書きしないでください（遅延日数・合計・件数など）。</t>
        </is>
      </c>
      <c r="D18" s="9" t="n"/>
      <c r="E18" s="9" t="n"/>
      <c r="F18" s="9" t="n"/>
    </row>
    <row r="19" ht="22" customHeight="1">
      <c r="A19" s="13" t="inlineStr"/>
      <c r="B19" s="11" t="inlineStr">
        <is>
          <t>記入例（淡橙・斜体）</t>
        </is>
      </c>
      <c r="C19" s="9" t="inlineStr">
        <is>
          <t>書き方のサンプルです。各表の1行目に1件だけ入れています。提出前に必ず削除してください。</t>
        </is>
      </c>
      <c r="D19" s="9" t="n"/>
      <c r="E19" s="9" t="n"/>
      <c r="F19" s="9" t="n"/>
    </row>
    <row r="20" ht="22" customHeight="1">
      <c r="A20" s="14" t="inlineStr"/>
      <c r="B20" s="11" t="inlineStr">
        <is>
          <t>見出し（濃紺・白文字）</t>
        </is>
      </c>
      <c r="C20" s="9" t="inlineStr">
        <is>
          <t>表の項目名です。列を増減する場合のみ編集してください。</t>
        </is>
      </c>
      <c r="D20" s="9" t="n"/>
      <c r="E20" s="9" t="n"/>
      <c r="F20" s="9" t="n"/>
    </row>
    <row r="22" ht="20" customHeight="1">
      <c r="A22" s="3" t="inlineStr">
        <is>
          <t>3. 社外（お客様）へ提出する際の注意</t>
        </is>
      </c>
      <c r="B22" s="4" t="n"/>
      <c r="C22" s="4" t="n"/>
      <c r="D22" s="4" t="n"/>
      <c r="E22" s="4" t="n"/>
      <c r="F22" s="4" t="n"/>
    </row>
    <row r="23" ht="30" customHeight="1">
      <c r="A23" s="8" t="inlineStr">
        <is>
          <t>・</t>
        </is>
      </c>
      <c r="B23" s="9" t="inlineStr">
        <is>
          <t>「01_サマリ」「05_新スケジュール」「06_影響・リスク」を中心に提出し、社内検討過程を含むシートは必要に応じて非表示または削除する。</t>
        </is>
      </c>
      <c r="C23" s="9" t="n"/>
      <c r="D23" s="9" t="n"/>
      <c r="E23" s="9" t="n"/>
      <c r="F23" s="9" t="n"/>
    </row>
    <row r="24" ht="30" customHeight="1">
      <c r="A24" s="8" t="inlineStr">
        <is>
          <t>・</t>
        </is>
      </c>
      <c r="B24" s="9" t="inlineStr">
        <is>
          <t>「03_原因分析」の“責任区分”は社内での整理用です。契約・請求に直結するため、提出可否は営業／契約担当と必ず事前確認する。</t>
        </is>
      </c>
      <c r="C24" s="9" t="n"/>
      <c r="D24" s="9" t="n"/>
      <c r="E24" s="9" t="n"/>
      <c r="F24" s="9" t="n"/>
    </row>
    <row r="25" ht="30" customHeight="1">
      <c r="A25" s="8" t="inlineStr">
        <is>
          <t>・</t>
        </is>
      </c>
      <c r="B25" s="9" t="inlineStr">
        <is>
          <t>原因はまず自社側の管理不足として記述し、お客様起因の事項は事実（依頼日・回答日等）ベースで淡々と併記する。断定・感情的表現は避ける。</t>
        </is>
      </c>
      <c r="C25" s="9" t="n"/>
      <c r="D25" s="9" t="n"/>
      <c r="E25" s="9" t="n"/>
      <c r="F25" s="9" t="n"/>
    </row>
    <row r="26" ht="30" customHeight="1">
      <c r="A26" s="8" t="inlineStr">
        <is>
          <t>・</t>
        </is>
      </c>
      <c r="B26" s="9" t="inlineStr">
        <is>
          <t>新納期は必ず「前提条件つき」で提示する（例：〇月〇日までにご承認いただけた場合）。前提が崩れた際の扱いも明記する。</t>
        </is>
      </c>
      <c r="C26" s="9" t="n"/>
      <c r="D26" s="9" t="n"/>
      <c r="E26" s="9" t="n"/>
      <c r="F26" s="9" t="n"/>
    </row>
    <row r="27" ht="30" customHeight="1">
      <c r="A27" s="8" t="inlineStr">
        <is>
          <t>・</t>
        </is>
      </c>
      <c r="B27" s="9" t="inlineStr">
        <is>
          <t>確定していない数字は空欄のままにせず「調整中（〇月〇日回答予定）」と記載し、次回報告日をセットで示す。</t>
        </is>
      </c>
      <c r="C27" s="9" t="n"/>
      <c r="D27" s="9" t="n"/>
      <c r="E27" s="9" t="n"/>
      <c r="F27" s="9" t="n"/>
    </row>
    <row r="28" ht="30" customHeight="1">
      <c r="A28" s="8" t="inlineStr">
        <is>
          <t>・</t>
        </is>
      </c>
      <c r="B28" s="9" t="inlineStr">
        <is>
          <t>記入例の行（淡橙・斜体）が残っていないか、提出前に全シートを確認する。</t>
        </is>
      </c>
      <c r="C28" s="9" t="n"/>
      <c r="D28" s="9" t="n"/>
      <c r="E28" s="9" t="n"/>
      <c r="F28" s="9" t="n"/>
    </row>
    <row r="30" ht="20" customHeight="1">
      <c r="A30" s="3" t="inlineStr">
        <is>
          <t>4. 提出前チェックリスト</t>
        </is>
      </c>
      <c r="B30" s="4" t="n"/>
      <c r="C30" s="4" t="n"/>
      <c r="D30" s="4" t="n"/>
      <c r="E30" s="4" t="n"/>
      <c r="F30" s="4" t="n"/>
    </row>
    <row r="31" ht="22" customHeight="1">
      <c r="A31" s="5" t="inlineStr">
        <is>
          <t>No</t>
        </is>
      </c>
      <c r="B31" s="5" t="inlineStr">
        <is>
          <t>確認項目</t>
        </is>
      </c>
      <c r="C31" s="5" t="inlineStr">
        <is>
          <t>確認状況</t>
        </is>
      </c>
      <c r="D31" s="5" t="inlineStr">
        <is>
          <t>確認者</t>
        </is>
      </c>
      <c r="E31" s="5" t="inlineStr">
        <is>
          <t>確認日</t>
        </is>
      </c>
      <c r="F31" s="5" t="inlineStr">
        <is>
          <t>備考</t>
        </is>
      </c>
    </row>
    <row r="32" ht="24" customHeight="1">
      <c r="A32" s="8" t="n">
        <v>1</v>
      </c>
      <c r="B32" s="9" t="inlineStr">
        <is>
          <t>遅延しているタスクを漏れなく洗い出したか（クリティカルパス上のタスクを含む）</t>
        </is>
      </c>
      <c r="C32" s="15" t="n"/>
      <c r="D32" s="10" t="n"/>
      <c r="E32" s="16" t="n"/>
      <c r="F32" s="10" t="n"/>
    </row>
    <row r="33" ht="24" customHeight="1">
      <c r="A33" s="8" t="n">
        <v>2</v>
      </c>
      <c r="B33" s="9" t="inlineStr">
        <is>
          <t>遅延日数と新納期の差異が、各シート間で一致しているか</t>
        </is>
      </c>
      <c r="C33" s="15" t="n"/>
      <c r="D33" s="10" t="n"/>
      <c r="E33" s="16" t="n"/>
      <c r="F33" s="10" t="n"/>
    </row>
    <row r="34" ht="24" customHeight="1">
      <c r="A34" s="8" t="n">
        <v>3</v>
      </c>
      <c r="B34" s="9" t="inlineStr">
        <is>
          <t>リカバリ施策の短縮日数の根拠（増員・並行作業・スコープ調整）を説明できるか</t>
        </is>
      </c>
      <c r="C34" s="15" t="n"/>
      <c r="D34" s="10" t="n"/>
      <c r="E34" s="16" t="n"/>
      <c r="F34" s="10" t="n"/>
    </row>
    <row r="35" ht="24" customHeight="1">
      <c r="A35" s="8" t="n">
        <v>4</v>
      </c>
      <c r="B35" s="9" t="inlineStr">
        <is>
          <t>追加コストの負担者（自社／お客様）について社内合意が取れているか</t>
        </is>
      </c>
      <c r="C35" s="15" t="n"/>
      <c r="D35" s="10" t="n"/>
      <c r="E35" s="16" t="n"/>
      <c r="F35" s="10" t="n"/>
    </row>
    <row r="36" ht="24" customHeight="1">
      <c r="A36" s="8" t="n">
        <v>5</v>
      </c>
      <c r="B36" s="9" t="inlineStr">
        <is>
          <t>品質を犠牲にする施策になっていないか（テスト削減等を含む場合はリスクを明示したか）</t>
        </is>
      </c>
      <c r="C36" s="15" t="n"/>
      <c r="D36" s="10" t="n"/>
      <c r="E36" s="16" t="n"/>
      <c r="F36" s="10" t="n"/>
    </row>
    <row r="37" ht="24" customHeight="1">
      <c r="A37" s="8" t="n">
        <v>6</v>
      </c>
      <c r="B37" s="9" t="inlineStr">
        <is>
          <t>お客様にご判断いただきたい事項が、期限つきで明記されているか</t>
        </is>
      </c>
      <c r="C37" s="15" t="n"/>
      <c r="D37" s="10" t="n"/>
      <c r="E37" s="16" t="n"/>
      <c r="F37" s="10" t="n"/>
    </row>
    <row r="38" ht="24" customHeight="1">
      <c r="A38" s="8" t="n">
        <v>7</v>
      </c>
      <c r="B38" s="9" t="inlineStr">
        <is>
          <t>新スケジュールの前提条件を明記したか</t>
        </is>
      </c>
      <c r="C38" s="15" t="n"/>
      <c r="D38" s="10" t="n"/>
      <c r="E38" s="16" t="n"/>
      <c r="F38" s="10" t="n"/>
    </row>
    <row r="39" ht="24" customHeight="1">
      <c r="A39" s="8" t="n">
        <v>8</v>
      </c>
      <c r="B39" s="9" t="inlineStr">
        <is>
          <t>再発防止策と、その実施時期・責任者を明記したか</t>
        </is>
      </c>
      <c r="C39" s="15" t="n"/>
      <c r="D39" s="10" t="n"/>
      <c r="E39" s="16" t="n"/>
      <c r="F39" s="10" t="n"/>
    </row>
    <row r="40" ht="24" customHeight="1">
      <c r="A40" s="8" t="n">
        <v>9</v>
      </c>
      <c r="B40" s="9" t="inlineStr">
        <is>
          <t>記入例の行をすべて削除したか</t>
        </is>
      </c>
      <c r="C40" s="15" t="n"/>
      <c r="D40" s="10" t="n"/>
      <c r="E40" s="16" t="n"/>
      <c r="F40" s="10" t="n"/>
    </row>
    <row r="41" ht="24" customHeight="1">
      <c r="A41" s="8" t="n">
        <v>10</v>
      </c>
      <c r="B41" s="9" t="inlineStr">
        <is>
          <t>社内承認（作成／確認／承認）を得たか</t>
        </is>
      </c>
      <c r="C41" s="15" t="n"/>
      <c r="D41" s="10" t="n"/>
      <c r="E41" s="16" t="n"/>
      <c r="F41" s="10" t="n"/>
    </row>
  </sheetData>
  <mergeCells count="26">
    <mergeCell ref="C17:F17"/>
    <mergeCell ref="C8:F8"/>
    <mergeCell ref="B25:F25"/>
    <mergeCell ref="C7:F7"/>
    <mergeCell ref="C19:F19"/>
    <mergeCell ref="B27:F27"/>
    <mergeCell ref="C13:F13"/>
    <mergeCell ref="A2:F2"/>
    <mergeCell ref="C18:F18"/>
    <mergeCell ref="C6:F6"/>
    <mergeCell ref="A22:F22"/>
    <mergeCell ref="B23:F23"/>
    <mergeCell ref="A4:F4"/>
    <mergeCell ref="C5:F5"/>
    <mergeCell ref="C20:F20"/>
    <mergeCell ref="B28:F28"/>
    <mergeCell ref="C16:F16"/>
    <mergeCell ref="C10:F10"/>
    <mergeCell ref="A30:F30"/>
    <mergeCell ref="A15:F15"/>
    <mergeCell ref="C9:F9"/>
    <mergeCell ref="B24:F24"/>
    <mergeCell ref="A1:F1"/>
    <mergeCell ref="C12:F12"/>
    <mergeCell ref="C11:F11"/>
    <mergeCell ref="B26:F26"/>
  </mergeCells>
  <dataValidations count="1">
    <dataValidation sqref="C32:C41" showDropDown="0" showInputMessage="0" showErrorMessage="0" allowBlank="1" type="list">
      <formula1>"済,未,対象外"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8" customWidth="1" min="5" max="5"/>
    <col width="16" customWidth="1" min="6" max="6"/>
    <col width="22" customWidth="1" min="7" max="7"/>
    <col width="16" customWidth="1" min="8" max="8"/>
  </cols>
  <sheetData>
    <row r="1" ht="26" customHeight="1">
      <c r="A1" s="1" t="inlineStr">
        <is>
          <t>スケジュール遅延に関するご報告とリカバリ計画（サマリ）</t>
        </is>
      </c>
    </row>
    <row r="2" ht="16" customHeight="1">
      <c r="A2" s="2" t="inlineStr">
        <is>
          <t>お客様へ最初にお見せする1枚です。数値は他シートから自動参照されます。文章欄（黄色）のみご記入ください。</t>
        </is>
      </c>
    </row>
    <row r="4" ht="20" customHeight="1">
      <c r="A4" s="3" t="inlineStr">
        <is>
          <t>案件情報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17" t="inlineStr">
        <is>
          <t>案件名</t>
        </is>
      </c>
      <c r="B5" s="15" t="n"/>
      <c r="C5" s="15" t="n"/>
      <c r="D5" s="15" t="n"/>
      <c r="E5" s="18" t="n"/>
      <c r="F5" s="17" t="inlineStr">
        <is>
          <t>文書番号</t>
        </is>
      </c>
      <c r="G5" s="15" t="n"/>
      <c r="H5" s="15" t="n"/>
    </row>
    <row r="6" ht="22" customHeight="1">
      <c r="A6" s="17" t="inlineStr">
        <is>
          <t>お客様名</t>
        </is>
      </c>
      <c r="B6" s="15" t="n"/>
      <c r="C6" s="15" t="n"/>
      <c r="D6" s="15" t="n"/>
      <c r="E6" s="18" t="n"/>
      <c r="F6" s="17" t="inlineStr">
        <is>
          <t>報告日</t>
        </is>
      </c>
      <c r="G6" s="19" t="n"/>
      <c r="H6" s="15" t="n"/>
    </row>
    <row r="7" ht="22" customHeight="1">
      <c r="A7" s="17" t="inlineStr">
        <is>
          <t>契約・注文番号</t>
        </is>
      </c>
      <c r="B7" s="15" t="n"/>
      <c r="C7" s="15" t="n"/>
      <c r="D7" s="15" t="n"/>
      <c r="E7" s="18" t="n"/>
      <c r="F7" s="17" t="inlineStr">
        <is>
          <t>版数</t>
        </is>
      </c>
      <c r="G7" s="15" t="n"/>
      <c r="H7" s="15" t="n"/>
    </row>
    <row r="8" ht="22" customHeight="1">
      <c r="A8" s="17" t="inlineStr">
        <is>
          <t>作成部署</t>
        </is>
      </c>
      <c r="B8" s="15" t="n"/>
      <c r="C8" s="15" t="n"/>
      <c r="D8" s="15" t="n"/>
      <c r="E8" s="18" t="n"/>
      <c r="F8" s="17" t="inlineStr">
        <is>
          <t>作成者</t>
        </is>
      </c>
      <c r="G8" s="15" t="n"/>
      <c r="H8" s="15" t="n"/>
    </row>
    <row r="10" ht="20" customHeight="1">
      <c r="A10" s="3" t="inlineStr">
        <is>
          <t>1. 現状サマリ（数値は自動計算）</t>
        </is>
      </c>
      <c r="B10" s="4" t="n"/>
      <c r="C10" s="4" t="n"/>
      <c r="D10" s="4" t="n"/>
      <c r="E10" s="4" t="n"/>
      <c r="F10" s="4" t="n"/>
      <c r="G10" s="4" t="n"/>
      <c r="H10" s="4" t="n"/>
    </row>
    <row r="11" ht="22" customHeight="1">
      <c r="A11" s="5" t="inlineStr">
        <is>
          <t>項目</t>
        </is>
      </c>
      <c r="B11" s="5" t="inlineStr">
        <is>
          <t>内容</t>
        </is>
      </c>
      <c r="C11" s="5" t="inlineStr">
        <is>
          <t>参照元</t>
        </is>
      </c>
      <c r="D11" s="6" t="n"/>
      <c r="E11" s="6" t="n"/>
      <c r="F11" s="6" t="n"/>
      <c r="G11" s="6" t="n"/>
      <c r="H11" s="7" t="n"/>
    </row>
    <row r="12" ht="22" customHeight="1">
      <c r="A12" s="20" t="inlineStr">
        <is>
          <t>当初のお約束納期</t>
        </is>
      </c>
      <c r="B12" s="21">
        <f>IF('05_新スケジュール'!B5="","",'05_新スケジュール'!B5)</f>
        <v/>
      </c>
      <c r="C12" s="22" t="inlineStr">
        <is>
          <t>05_新スケジュール B5</t>
        </is>
      </c>
      <c r="D12" s="9" t="n"/>
      <c r="E12" s="9" t="n"/>
      <c r="F12" s="9" t="n"/>
      <c r="G12" s="9" t="n"/>
      <c r="H12" s="9" t="n"/>
    </row>
    <row r="13" ht="22" customHeight="1">
      <c r="A13" s="20" t="inlineStr">
        <is>
          <t>現時点の完了見込（対策前）</t>
        </is>
      </c>
      <c r="B13" s="19" t="n"/>
      <c r="C13" s="22" t="inlineStr">
        <is>
          <t>手入力（対策を打たない場合の着地見込）</t>
        </is>
      </c>
      <c r="D13" s="9" t="n"/>
      <c r="E13" s="9" t="n"/>
      <c r="F13" s="9" t="n"/>
      <c r="G13" s="9" t="n"/>
      <c r="H13" s="9" t="n"/>
    </row>
    <row r="14" ht="22" customHeight="1">
      <c r="A14" s="20" t="inlineStr">
        <is>
          <t>遅延日数（対策前）</t>
        </is>
      </c>
      <c r="B14" s="23">
        <f>IF(OR(B12="",B13=""),"",B13-B12)</f>
        <v/>
      </c>
      <c r="C14" s="22" t="inlineStr">
        <is>
          <t>自動計算</t>
        </is>
      </c>
      <c r="D14" s="9" t="n"/>
      <c r="E14" s="9" t="n"/>
      <c r="F14" s="9" t="n"/>
      <c r="G14" s="9" t="n"/>
      <c r="H14" s="9" t="n"/>
    </row>
    <row r="15" ht="22" customHeight="1">
      <c r="A15" s="20" t="inlineStr">
        <is>
          <t>リカバリ後の納品予定日</t>
        </is>
      </c>
      <c r="B15" s="21">
        <f>IF('05_新スケジュール'!C5="","",'05_新スケジュール'!C5)</f>
        <v/>
      </c>
      <c r="C15" s="22" t="inlineStr">
        <is>
          <t>05_新スケジュール C5</t>
        </is>
      </c>
      <c r="D15" s="9" t="n"/>
      <c r="E15" s="9" t="n"/>
      <c r="F15" s="9" t="n"/>
      <c r="G15" s="9" t="n"/>
      <c r="H15" s="9" t="n"/>
    </row>
    <row r="16" ht="22" customHeight="1">
      <c r="A16" s="20" t="inlineStr">
        <is>
          <t>リカバリによる短縮見込</t>
        </is>
      </c>
      <c r="B16" s="23">
        <f>IF('04_リカバリ施策'!B4="","",'04_リカバリ施策'!B4)</f>
        <v/>
      </c>
      <c r="C16" s="22" t="inlineStr">
        <is>
          <t>04_リカバリ施策（採用施策の合計）</t>
        </is>
      </c>
      <c r="D16" s="9" t="n"/>
      <c r="E16" s="9" t="n"/>
      <c r="F16" s="9" t="n"/>
      <c r="G16" s="9" t="n"/>
      <c r="H16" s="9" t="n"/>
    </row>
    <row r="17" ht="22" customHeight="1">
      <c r="A17" s="20" t="inlineStr">
        <is>
          <t>最終的な納期差異</t>
        </is>
      </c>
      <c r="B17" s="23">
        <f>IF(OR(B12="",B15=""),"",B15-B12)</f>
        <v/>
      </c>
      <c r="C17" s="22" t="inlineStr">
        <is>
          <t>自動計算（0なら納期内に回復）</t>
        </is>
      </c>
      <c r="D17" s="9" t="n"/>
      <c r="E17" s="9" t="n"/>
      <c r="F17" s="9" t="n"/>
      <c r="G17" s="9" t="n"/>
      <c r="H17" s="9" t="n"/>
    </row>
    <row r="18" ht="22" customHeight="1">
      <c r="A18" s="20" t="inlineStr">
        <is>
          <t>遅延タスク件数</t>
        </is>
      </c>
      <c r="B18" s="24">
        <f>IF('02_遅延状況'!B4="","",'02_遅延状況'!B4)</f>
        <v/>
      </c>
      <c r="C18" s="22" t="inlineStr">
        <is>
          <t>02_遅延状況</t>
        </is>
      </c>
      <c r="D18" s="9" t="n"/>
      <c r="E18" s="9" t="n"/>
      <c r="F18" s="9" t="n"/>
      <c r="G18" s="9" t="n"/>
      <c r="H18" s="9" t="n"/>
    </row>
    <row r="19" ht="22" customHeight="1">
      <c r="A19" s="20" t="inlineStr">
        <is>
          <t>うちクリティカルパス上</t>
        </is>
      </c>
      <c r="B19" s="24">
        <f>IF('02_遅延状況'!F4="","",'02_遅延状況'!F4)</f>
        <v/>
      </c>
      <c r="C19" s="22" t="inlineStr">
        <is>
          <t>02_遅延状況</t>
        </is>
      </c>
      <c r="D19" s="9" t="n"/>
      <c r="E19" s="9" t="n"/>
      <c r="F19" s="9" t="n"/>
      <c r="G19" s="9" t="n"/>
      <c r="H19" s="9" t="n"/>
    </row>
    <row r="20" ht="22" customHeight="1">
      <c r="A20" s="20" t="inlineStr">
        <is>
          <t>追加費用（見込）</t>
        </is>
      </c>
      <c r="B20" s="25">
        <f>IF('04_リカバリ施策'!D4="","",'04_リカバリ施策'!D4)</f>
        <v/>
      </c>
      <c r="C20" s="22" t="inlineStr">
        <is>
          <t>04_リカバリ施策（採用施策の合計）</t>
        </is>
      </c>
      <c r="D20" s="9" t="n"/>
      <c r="E20" s="9" t="n"/>
      <c r="F20" s="9" t="n"/>
      <c r="G20" s="9" t="n"/>
      <c r="H20" s="9" t="n"/>
    </row>
    <row r="22" ht="20" customHeight="1">
      <c r="A22" s="3" t="inlineStr">
        <is>
          <t>2. ご報告の趣旨</t>
        </is>
      </c>
      <c r="B22" s="4" t="n"/>
      <c r="C22" s="4" t="n"/>
      <c r="D22" s="4" t="n"/>
      <c r="E22" s="4" t="n"/>
      <c r="F22" s="4" t="n"/>
      <c r="G22" s="4" t="n"/>
      <c r="H22" s="4" t="n"/>
    </row>
    <row r="23" ht="72" customHeight="1">
      <c r="A23" s="10" t="inlineStr">
        <is>
          <t>例）〇〇システム構築におきまして、結合テスト工程に遅れが生じ、当初お約束の納期を〇日超過する見込みとなりました。原因と回復計画をご報告し、あわせてご判断をお願いしたい事項をご説明いたします。</t>
        </is>
      </c>
      <c r="B23" s="10" t="n"/>
      <c r="C23" s="10" t="n"/>
      <c r="D23" s="10" t="n"/>
      <c r="E23" s="10" t="n"/>
      <c r="F23" s="10" t="n"/>
      <c r="G23" s="10" t="n"/>
      <c r="H23" s="10" t="n"/>
    </row>
    <row r="25" ht="20" customHeight="1">
      <c r="A25" s="3" t="inlineStr">
        <is>
          <t>3. 遅延の状況</t>
        </is>
      </c>
      <c r="B25" s="4" t="n"/>
      <c r="C25" s="4" t="n"/>
      <c r="D25" s="4" t="n"/>
      <c r="E25" s="4" t="n"/>
      <c r="F25" s="4" t="n"/>
      <c r="G25" s="4" t="n"/>
      <c r="H25" s="4" t="n"/>
    </row>
    <row r="26" ht="72" customHeight="1">
      <c r="A26" s="10" t="inlineStr">
        <is>
          <t>例）〇月〇日時点で、全〇工程のうち〇工程が計画比〇日遅れ。特に△△機能の結合テストがクリティカルパス上にあり、後続の受入テスト開始日に影響します。（詳細は「02_遅延状況」）</t>
        </is>
      </c>
      <c r="B26" s="10" t="n"/>
      <c r="C26" s="10" t="n"/>
      <c r="D26" s="10" t="n"/>
      <c r="E26" s="10" t="n"/>
      <c r="F26" s="10" t="n"/>
      <c r="G26" s="10" t="n"/>
      <c r="H26" s="10" t="n"/>
    </row>
    <row r="28" ht="20" customHeight="1">
      <c r="A28" s="3" t="inlineStr">
        <is>
          <t>4. 主な原因</t>
        </is>
      </c>
      <c r="B28" s="4" t="n"/>
      <c r="C28" s="4" t="n"/>
      <c r="D28" s="4" t="n"/>
      <c r="E28" s="4" t="n"/>
      <c r="F28" s="4" t="n"/>
      <c r="G28" s="4" t="n"/>
      <c r="H28" s="4" t="n"/>
    </row>
    <row r="29" ht="90" customHeight="1">
      <c r="A29" s="10" t="inlineStr">
        <is>
          <t>例）①要件確定の長期化により設計着手が〇日後ろ倒しとなった ②想定を上回る不具合密度によりテスト工数が〇%増加した ③当社の進捗管理において、遅延の兆候を検知する頻度が不足していた。（詳細は「03_原因分析」）</t>
        </is>
      </c>
      <c r="B29" s="10" t="n"/>
      <c r="C29" s="10" t="n"/>
      <c r="D29" s="10" t="n"/>
      <c r="E29" s="10" t="n"/>
      <c r="F29" s="10" t="n"/>
      <c r="G29" s="10" t="n"/>
      <c r="H29" s="10" t="n"/>
    </row>
    <row r="31" ht="20" customHeight="1">
      <c r="A31" s="3" t="inlineStr">
        <is>
          <t>5. リカバリ方針</t>
        </is>
      </c>
      <c r="B31" s="4" t="n"/>
      <c r="C31" s="4" t="n"/>
      <c r="D31" s="4" t="n"/>
      <c r="E31" s="4" t="n"/>
      <c r="F31" s="4" t="n"/>
      <c r="G31" s="4" t="n"/>
      <c r="H31" s="4" t="n"/>
    </row>
    <row r="32" ht="90" customHeight="1">
      <c r="A32" s="10" t="inlineStr">
        <is>
          <t>例）①要員を〇名増員し△△工程を並行実施 ②〇〇機能を第2次リリースへ分割 ③テスト自動化により回帰試験を短縮。これにより〇日短縮し、〇月〇日の納品を見込みます。（詳細は「04_リカバリ施策」「05_新スケジュール」）</t>
        </is>
      </c>
      <c r="B32" s="10" t="n"/>
      <c r="C32" s="10" t="n"/>
      <c r="D32" s="10" t="n"/>
      <c r="E32" s="10" t="n"/>
      <c r="F32" s="10" t="n"/>
      <c r="G32" s="10" t="n"/>
      <c r="H32" s="10" t="n"/>
    </row>
    <row r="34" ht="20" customHeight="1">
      <c r="A34" s="3" t="inlineStr">
        <is>
          <t>6. お客様にご判断・ご協力をお願いしたい事項</t>
        </is>
      </c>
      <c r="B34" s="4" t="n"/>
      <c r="C34" s="4" t="n"/>
      <c r="D34" s="4" t="n"/>
      <c r="E34" s="4" t="n"/>
      <c r="F34" s="4" t="n"/>
      <c r="G34" s="4" t="n"/>
      <c r="H34" s="4" t="n"/>
    </row>
    <row r="35" ht="90" customHeight="1">
      <c r="A35" s="10" t="inlineStr">
        <is>
          <t>例）①スコープ分割（第2次リリース）のご承認：〇月〇日までにご回答いただけますと計画どおり回復可能です ②受入テスト環境のご準備：〇月〇日まで ③仕様確認事項へのご回答：原則2営業日以内</t>
        </is>
      </c>
      <c r="B35" s="10" t="n"/>
      <c r="C35" s="10" t="n"/>
      <c r="D35" s="10" t="n"/>
      <c r="E35" s="10" t="n"/>
      <c r="F35" s="10" t="n"/>
      <c r="G35" s="10" t="n"/>
      <c r="H35" s="10" t="n"/>
    </row>
    <row r="37" ht="20" customHeight="1">
      <c r="A37" s="3" t="inlineStr">
        <is>
          <t>7. 再発防止と今後の報告体制</t>
        </is>
      </c>
      <c r="B37" s="4" t="n"/>
      <c r="C37" s="4" t="n"/>
      <c r="D37" s="4" t="n"/>
      <c r="E37" s="4" t="n"/>
      <c r="F37" s="4" t="n"/>
      <c r="G37" s="4" t="n"/>
      <c r="H37" s="4" t="n"/>
    </row>
    <row r="38" ht="72" customHeight="1">
      <c r="A38" s="10" t="inlineStr">
        <is>
          <t>例）進捗会議を週次から週2回へ変更し、遅延の兆候を早期に検知します。毎週〇曜日に「08_週次モニタリング」の内容をご報告いたします。</t>
        </is>
      </c>
      <c r="B38" s="10" t="n"/>
      <c r="C38" s="10" t="n"/>
      <c r="D38" s="10" t="n"/>
      <c r="E38" s="10" t="n"/>
      <c r="F38" s="10" t="n"/>
      <c r="G38" s="10" t="n"/>
      <c r="H38" s="10" t="n"/>
    </row>
    <row r="40" ht="20" customHeight="1">
      <c r="A40" s="3" t="inlineStr">
        <is>
          <t>社内承認欄</t>
        </is>
      </c>
      <c r="B40" s="4" t="n"/>
      <c r="C40" s="4" t="n"/>
      <c r="D40" s="4" t="n"/>
      <c r="E40" s="4" t="n"/>
      <c r="F40" s="4" t="n"/>
      <c r="G40" s="4" t="n"/>
      <c r="H40" s="4" t="n"/>
    </row>
    <row r="41" ht="20" customHeight="1">
      <c r="A41" s="5" t="inlineStr">
        <is>
          <t>承認</t>
        </is>
      </c>
      <c r="B41" s="5" t="inlineStr">
        <is>
          <t>確認</t>
        </is>
      </c>
      <c r="C41" s="5" t="inlineStr">
        <is>
          <t>作成</t>
        </is>
      </c>
      <c r="D41" s="5" t="inlineStr"/>
      <c r="E41" s="6" t="n"/>
      <c r="F41" s="6" t="n"/>
      <c r="G41" s="6" t="n"/>
      <c r="H41" s="7" t="n"/>
    </row>
    <row r="42" ht="46" customHeight="1">
      <c r="A42" s="15" t="n"/>
      <c r="B42" s="15" t="n"/>
      <c r="C42" s="15" t="n"/>
    </row>
  </sheetData>
  <mergeCells count="37">
    <mergeCell ref="C16:H16"/>
    <mergeCell ref="B8:D8"/>
    <mergeCell ref="A1:H1"/>
    <mergeCell ref="C12:H12"/>
    <mergeCell ref="G8:H8"/>
    <mergeCell ref="C11:H11"/>
    <mergeCell ref="G7:H7"/>
    <mergeCell ref="A25:H25"/>
    <mergeCell ref="D41:H41"/>
    <mergeCell ref="G6:H6"/>
    <mergeCell ref="C17:H17"/>
    <mergeCell ref="A37:H37"/>
    <mergeCell ref="B6:D6"/>
    <mergeCell ref="A26:H26"/>
    <mergeCell ref="B5:D5"/>
    <mergeCell ref="C19:H19"/>
    <mergeCell ref="C13:H13"/>
    <mergeCell ref="A2:H2"/>
    <mergeCell ref="G5:H5"/>
    <mergeCell ref="C18:H18"/>
    <mergeCell ref="A23:H23"/>
    <mergeCell ref="B7:D7"/>
    <mergeCell ref="A32:H32"/>
    <mergeCell ref="A22:H22"/>
    <mergeCell ref="C15:H15"/>
    <mergeCell ref="A40:H40"/>
    <mergeCell ref="A4:H4"/>
    <mergeCell ref="A29:H29"/>
    <mergeCell ref="C14:H14"/>
    <mergeCell ref="A35:H35"/>
    <mergeCell ref="A38:H38"/>
    <mergeCell ref="D42:H42"/>
    <mergeCell ref="A10:H10"/>
    <mergeCell ref="A28:H28"/>
    <mergeCell ref="C20:H20"/>
    <mergeCell ref="A31:H31"/>
    <mergeCell ref="A34:H34"/>
  </mergeCells>
  <printOptions horizontalCentered="1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9" customWidth="1" min="10" max="10"/>
    <col width="13" customWidth="1" min="11" max="11"/>
    <col width="16" customWidth="1" min="12" max="12"/>
    <col width="26" customWidth="1" min="13" max="13"/>
    <col width="20" customWidth="1" min="14" max="14"/>
  </cols>
  <sheetData>
    <row r="1" ht="26" customHeight="1">
      <c r="A1" s="1" t="inlineStr">
        <is>
          <t>遅延状況一覧</t>
        </is>
      </c>
    </row>
    <row r="2" ht="16" customHeight="1">
      <c r="A2" s="2" t="inlineStr">
        <is>
          <t>遅延しているタスクを洗い出します。当初日程と実績／見込日程を入れると「遅延日数」（暦日。土日・休日も数えます）は自動計算されます。1行目は記入例です（提出前に削除）。</t>
        </is>
      </c>
    </row>
    <row r="4" ht="24" customHeight="1">
      <c r="A4" s="17" t="inlineStr">
        <is>
          <t>遅延タスク件数</t>
        </is>
      </c>
      <c r="B4" s="24">
        <f>COUNTIF(I8:I37,"&gt;0")</f>
        <v/>
      </c>
      <c r="C4" s="17" t="inlineStr">
        <is>
          <t>最大遅延日数</t>
        </is>
      </c>
      <c r="D4" s="23">
        <f>IF(COUNT(I8:I37)=0,"",MAX(I8:I37))</f>
        <v/>
      </c>
      <c r="E4" s="17" t="inlineStr">
        <is>
          <t>うちCP上の遅延</t>
        </is>
      </c>
      <c r="F4" s="24">
        <f>COUNTIFS(K8:K37,"該当",I8:I37,"&gt;0")</f>
        <v/>
      </c>
      <c r="G4" s="17" t="inlineStr">
        <is>
          <t>平均進捗率</t>
        </is>
      </c>
      <c r="H4" s="26">
        <f>IF(COUNT(J8:J37)=0,"",AVERAGE(J8:J37))</f>
        <v/>
      </c>
      <c r="I4" s="2" t="inlineStr">
        <is>
          <t>※CP＝クリティカルパス。件数は記入例行を除いて集計します。</t>
        </is>
      </c>
    </row>
    <row r="6" ht="32" customHeight="1">
      <c r="A6" s="5" t="inlineStr">
        <is>
          <t>No</t>
        </is>
      </c>
      <c r="B6" s="5" t="inlineStr">
        <is>
          <t>WBS No</t>
        </is>
      </c>
      <c r="C6" s="5" t="inlineStr">
        <is>
          <t>工程・タスク名</t>
        </is>
      </c>
      <c r="D6" s="5" t="inlineStr">
        <is>
          <t>担当</t>
        </is>
      </c>
      <c r="E6" s="5" t="inlineStr">
        <is>
          <t>当初開始日</t>
        </is>
      </c>
      <c r="F6" s="5" t="inlineStr">
        <is>
          <t>当初終了日</t>
        </is>
      </c>
      <c r="G6" s="5" t="inlineStr">
        <is>
          <t>実績／見込開始日</t>
        </is>
      </c>
      <c r="H6" s="5" t="inlineStr">
        <is>
          <t>実績／見込終了日</t>
        </is>
      </c>
      <c r="I6" s="5" t="inlineStr">
        <is>
          <t>遅延日数（暦日）</t>
        </is>
      </c>
      <c r="J6" s="5" t="inlineStr">
        <is>
          <t>進捗率</t>
        </is>
      </c>
      <c r="K6" s="5" t="inlineStr">
        <is>
          <t>クリティカルパス</t>
        </is>
      </c>
      <c r="L6" s="5" t="inlineStr">
        <is>
          <t>遅延要因区分</t>
        </is>
      </c>
      <c r="M6" s="5" t="inlineStr">
        <is>
          <t>後続工程への影響</t>
        </is>
      </c>
      <c r="N6" s="5" t="inlineStr">
        <is>
          <t>備考</t>
        </is>
      </c>
    </row>
    <row r="7" ht="26" customHeight="1">
      <c r="A7" s="27" t="n">
        <v>1</v>
      </c>
      <c r="B7" s="27" t="inlineStr">
        <is>
          <t>3.2.1</t>
        </is>
      </c>
      <c r="C7" s="13" t="inlineStr">
        <is>
          <t>△△機能　結合テスト</t>
        </is>
      </c>
      <c r="D7" s="27" t="inlineStr">
        <is>
          <t>自社／〇〇</t>
        </is>
      </c>
      <c r="E7" s="28" t="n">
        <v>46174</v>
      </c>
      <c r="F7" s="28" t="n">
        <v>46192</v>
      </c>
      <c r="G7" s="28" t="n">
        <v>46181</v>
      </c>
      <c r="H7" s="28" t="n">
        <v>46206</v>
      </c>
      <c r="I7" s="29">
        <f>IF(OR(F7="",H7=""),"",H7-F7)</f>
        <v/>
      </c>
      <c r="J7" s="30" t="n">
        <v>0.45</v>
      </c>
      <c r="K7" s="27" t="inlineStr">
        <is>
          <t>該当</t>
        </is>
      </c>
      <c r="L7" s="27" t="inlineStr">
        <is>
          <t>品質不良（不具合多発）</t>
        </is>
      </c>
      <c r="M7" s="13" t="inlineStr">
        <is>
          <t>受入テスト開始が10営業日後ろ倒し</t>
        </is>
      </c>
      <c r="N7" s="13" t="inlineStr">
        <is>
          <t>不具合密度が想定の1.8倍</t>
        </is>
      </c>
    </row>
    <row r="8" ht="26" customHeight="1">
      <c r="A8" s="15" t="n"/>
      <c r="B8" s="15" t="n"/>
      <c r="C8" s="10" t="n"/>
      <c r="D8" s="15" t="n"/>
      <c r="E8" s="19" t="n"/>
      <c r="F8" s="19" t="n"/>
      <c r="G8" s="19" t="n"/>
      <c r="H8" s="19" t="n"/>
      <c r="I8" s="23">
        <f>IF(OR(F8="",H8=""),"",H8-F8)</f>
        <v/>
      </c>
      <c r="J8" s="31" t="n"/>
      <c r="K8" s="15" t="n"/>
      <c r="L8" s="15" t="n"/>
      <c r="M8" s="10" t="n"/>
      <c r="N8" s="10" t="n"/>
    </row>
    <row r="9" ht="26" customHeight="1">
      <c r="A9" s="15" t="n"/>
      <c r="B9" s="15" t="n"/>
      <c r="C9" s="10" t="n"/>
      <c r="D9" s="15" t="n"/>
      <c r="E9" s="19" t="n"/>
      <c r="F9" s="19" t="n"/>
      <c r="G9" s="19" t="n"/>
      <c r="H9" s="19" t="n"/>
      <c r="I9" s="23">
        <f>IF(OR(F9="",H9=""),"",H9-F9)</f>
        <v/>
      </c>
      <c r="J9" s="31" t="n"/>
      <c r="K9" s="15" t="n"/>
      <c r="L9" s="15" t="n"/>
      <c r="M9" s="10" t="n"/>
      <c r="N9" s="10" t="n"/>
    </row>
    <row r="10" ht="26" customHeight="1">
      <c r="A10" s="15" t="n"/>
      <c r="B10" s="15" t="n"/>
      <c r="C10" s="10" t="n"/>
      <c r="D10" s="15" t="n"/>
      <c r="E10" s="19" t="n"/>
      <c r="F10" s="19" t="n"/>
      <c r="G10" s="19" t="n"/>
      <c r="H10" s="19" t="n"/>
      <c r="I10" s="23">
        <f>IF(OR(F10="",H10=""),"",H10-F10)</f>
        <v/>
      </c>
      <c r="J10" s="31" t="n"/>
      <c r="K10" s="15" t="n"/>
      <c r="L10" s="15" t="n"/>
      <c r="M10" s="10" t="n"/>
      <c r="N10" s="10" t="n"/>
    </row>
    <row r="11" ht="26" customHeight="1">
      <c r="A11" s="15" t="n"/>
      <c r="B11" s="15" t="n"/>
      <c r="C11" s="10" t="n"/>
      <c r="D11" s="15" t="n"/>
      <c r="E11" s="19" t="n"/>
      <c r="F11" s="19" t="n"/>
      <c r="G11" s="19" t="n"/>
      <c r="H11" s="19" t="n"/>
      <c r="I11" s="23">
        <f>IF(OR(F11="",H11=""),"",H11-F11)</f>
        <v/>
      </c>
      <c r="J11" s="31" t="n"/>
      <c r="K11" s="15" t="n"/>
      <c r="L11" s="15" t="n"/>
      <c r="M11" s="10" t="n"/>
      <c r="N11" s="10" t="n"/>
    </row>
    <row r="12" ht="26" customHeight="1">
      <c r="A12" s="15" t="n"/>
      <c r="B12" s="15" t="n"/>
      <c r="C12" s="10" t="n"/>
      <c r="D12" s="15" t="n"/>
      <c r="E12" s="19" t="n"/>
      <c r="F12" s="19" t="n"/>
      <c r="G12" s="19" t="n"/>
      <c r="H12" s="19" t="n"/>
      <c r="I12" s="23">
        <f>IF(OR(F12="",H12=""),"",H12-F12)</f>
        <v/>
      </c>
      <c r="J12" s="31" t="n"/>
      <c r="K12" s="15" t="n"/>
      <c r="L12" s="15" t="n"/>
      <c r="M12" s="10" t="n"/>
      <c r="N12" s="10" t="n"/>
    </row>
    <row r="13" ht="26" customHeight="1">
      <c r="A13" s="15" t="n"/>
      <c r="B13" s="15" t="n"/>
      <c r="C13" s="10" t="n"/>
      <c r="D13" s="15" t="n"/>
      <c r="E13" s="19" t="n"/>
      <c r="F13" s="19" t="n"/>
      <c r="G13" s="19" t="n"/>
      <c r="H13" s="19" t="n"/>
      <c r="I13" s="23">
        <f>IF(OR(F13="",H13=""),"",H13-F13)</f>
        <v/>
      </c>
      <c r="J13" s="31" t="n"/>
      <c r="K13" s="15" t="n"/>
      <c r="L13" s="15" t="n"/>
      <c r="M13" s="10" t="n"/>
      <c r="N13" s="10" t="n"/>
    </row>
    <row r="14" ht="26" customHeight="1">
      <c r="A14" s="15" t="n"/>
      <c r="B14" s="15" t="n"/>
      <c r="C14" s="10" t="n"/>
      <c r="D14" s="15" t="n"/>
      <c r="E14" s="19" t="n"/>
      <c r="F14" s="19" t="n"/>
      <c r="G14" s="19" t="n"/>
      <c r="H14" s="19" t="n"/>
      <c r="I14" s="23">
        <f>IF(OR(F14="",H14=""),"",H14-F14)</f>
        <v/>
      </c>
      <c r="J14" s="31" t="n"/>
      <c r="K14" s="15" t="n"/>
      <c r="L14" s="15" t="n"/>
      <c r="M14" s="10" t="n"/>
      <c r="N14" s="10" t="n"/>
    </row>
    <row r="15" ht="26" customHeight="1">
      <c r="A15" s="15" t="n"/>
      <c r="B15" s="15" t="n"/>
      <c r="C15" s="10" t="n"/>
      <c r="D15" s="15" t="n"/>
      <c r="E15" s="19" t="n"/>
      <c r="F15" s="19" t="n"/>
      <c r="G15" s="19" t="n"/>
      <c r="H15" s="19" t="n"/>
      <c r="I15" s="23">
        <f>IF(OR(F15="",H15=""),"",H15-F15)</f>
        <v/>
      </c>
      <c r="J15" s="31" t="n"/>
      <c r="K15" s="15" t="n"/>
      <c r="L15" s="15" t="n"/>
      <c r="M15" s="10" t="n"/>
      <c r="N15" s="10" t="n"/>
    </row>
    <row r="16" ht="26" customHeight="1">
      <c r="A16" s="15" t="n"/>
      <c r="B16" s="15" t="n"/>
      <c r="C16" s="10" t="n"/>
      <c r="D16" s="15" t="n"/>
      <c r="E16" s="19" t="n"/>
      <c r="F16" s="19" t="n"/>
      <c r="G16" s="19" t="n"/>
      <c r="H16" s="19" t="n"/>
      <c r="I16" s="23">
        <f>IF(OR(F16="",H16=""),"",H16-F16)</f>
        <v/>
      </c>
      <c r="J16" s="31" t="n"/>
      <c r="K16" s="15" t="n"/>
      <c r="L16" s="15" t="n"/>
      <c r="M16" s="10" t="n"/>
      <c r="N16" s="10" t="n"/>
    </row>
    <row r="17" ht="26" customHeight="1">
      <c r="A17" s="15" t="n"/>
      <c r="B17" s="15" t="n"/>
      <c r="C17" s="10" t="n"/>
      <c r="D17" s="15" t="n"/>
      <c r="E17" s="19" t="n"/>
      <c r="F17" s="19" t="n"/>
      <c r="G17" s="19" t="n"/>
      <c r="H17" s="19" t="n"/>
      <c r="I17" s="23">
        <f>IF(OR(F17="",H17=""),"",H17-F17)</f>
        <v/>
      </c>
      <c r="J17" s="31" t="n"/>
      <c r="K17" s="15" t="n"/>
      <c r="L17" s="15" t="n"/>
      <c r="M17" s="10" t="n"/>
      <c r="N17" s="10" t="n"/>
    </row>
    <row r="18" ht="26" customHeight="1">
      <c r="A18" s="15" t="n"/>
      <c r="B18" s="15" t="n"/>
      <c r="C18" s="10" t="n"/>
      <c r="D18" s="15" t="n"/>
      <c r="E18" s="19" t="n"/>
      <c r="F18" s="19" t="n"/>
      <c r="G18" s="19" t="n"/>
      <c r="H18" s="19" t="n"/>
      <c r="I18" s="23">
        <f>IF(OR(F18="",H18=""),"",H18-F18)</f>
        <v/>
      </c>
      <c r="J18" s="31" t="n"/>
      <c r="K18" s="15" t="n"/>
      <c r="L18" s="15" t="n"/>
      <c r="M18" s="10" t="n"/>
      <c r="N18" s="10" t="n"/>
    </row>
    <row r="19" ht="26" customHeight="1">
      <c r="A19" s="15" t="n"/>
      <c r="B19" s="15" t="n"/>
      <c r="C19" s="10" t="n"/>
      <c r="D19" s="15" t="n"/>
      <c r="E19" s="19" t="n"/>
      <c r="F19" s="19" t="n"/>
      <c r="G19" s="19" t="n"/>
      <c r="H19" s="19" t="n"/>
      <c r="I19" s="23">
        <f>IF(OR(F19="",H19=""),"",H19-F19)</f>
        <v/>
      </c>
      <c r="J19" s="31" t="n"/>
      <c r="K19" s="15" t="n"/>
      <c r="L19" s="15" t="n"/>
      <c r="M19" s="10" t="n"/>
      <c r="N19" s="10" t="n"/>
    </row>
    <row r="20" ht="26" customHeight="1">
      <c r="A20" s="15" t="n"/>
      <c r="B20" s="15" t="n"/>
      <c r="C20" s="10" t="n"/>
      <c r="D20" s="15" t="n"/>
      <c r="E20" s="19" t="n"/>
      <c r="F20" s="19" t="n"/>
      <c r="G20" s="19" t="n"/>
      <c r="H20" s="19" t="n"/>
      <c r="I20" s="23">
        <f>IF(OR(F20="",H20=""),"",H20-F20)</f>
        <v/>
      </c>
      <c r="J20" s="31" t="n"/>
      <c r="K20" s="15" t="n"/>
      <c r="L20" s="15" t="n"/>
      <c r="M20" s="10" t="n"/>
      <c r="N20" s="10" t="n"/>
    </row>
    <row r="21" ht="26" customHeight="1">
      <c r="A21" s="15" t="n"/>
      <c r="B21" s="15" t="n"/>
      <c r="C21" s="10" t="n"/>
      <c r="D21" s="15" t="n"/>
      <c r="E21" s="19" t="n"/>
      <c r="F21" s="19" t="n"/>
      <c r="G21" s="19" t="n"/>
      <c r="H21" s="19" t="n"/>
      <c r="I21" s="23">
        <f>IF(OR(F21="",H21=""),"",H21-F21)</f>
        <v/>
      </c>
      <c r="J21" s="31" t="n"/>
      <c r="K21" s="15" t="n"/>
      <c r="L21" s="15" t="n"/>
      <c r="M21" s="10" t="n"/>
      <c r="N21" s="10" t="n"/>
    </row>
    <row r="22" ht="26" customHeight="1">
      <c r="A22" s="15" t="n"/>
      <c r="B22" s="15" t="n"/>
      <c r="C22" s="10" t="n"/>
      <c r="D22" s="15" t="n"/>
      <c r="E22" s="19" t="n"/>
      <c r="F22" s="19" t="n"/>
      <c r="G22" s="19" t="n"/>
      <c r="H22" s="19" t="n"/>
      <c r="I22" s="23">
        <f>IF(OR(F22="",H22=""),"",H22-F22)</f>
        <v/>
      </c>
      <c r="J22" s="31" t="n"/>
      <c r="K22" s="15" t="n"/>
      <c r="L22" s="15" t="n"/>
      <c r="M22" s="10" t="n"/>
      <c r="N22" s="10" t="n"/>
    </row>
    <row r="23" ht="26" customHeight="1">
      <c r="A23" s="15" t="n"/>
      <c r="B23" s="15" t="n"/>
      <c r="C23" s="10" t="n"/>
      <c r="D23" s="15" t="n"/>
      <c r="E23" s="19" t="n"/>
      <c r="F23" s="19" t="n"/>
      <c r="G23" s="19" t="n"/>
      <c r="H23" s="19" t="n"/>
      <c r="I23" s="23">
        <f>IF(OR(F23="",H23=""),"",H23-F23)</f>
        <v/>
      </c>
      <c r="J23" s="31" t="n"/>
      <c r="K23" s="15" t="n"/>
      <c r="L23" s="15" t="n"/>
      <c r="M23" s="10" t="n"/>
      <c r="N23" s="10" t="n"/>
    </row>
    <row r="24" ht="26" customHeight="1">
      <c r="A24" s="15" t="n"/>
      <c r="B24" s="15" t="n"/>
      <c r="C24" s="10" t="n"/>
      <c r="D24" s="15" t="n"/>
      <c r="E24" s="19" t="n"/>
      <c r="F24" s="19" t="n"/>
      <c r="G24" s="19" t="n"/>
      <c r="H24" s="19" t="n"/>
      <c r="I24" s="23">
        <f>IF(OR(F24="",H24=""),"",H24-F24)</f>
        <v/>
      </c>
      <c r="J24" s="31" t="n"/>
      <c r="K24" s="15" t="n"/>
      <c r="L24" s="15" t="n"/>
      <c r="M24" s="10" t="n"/>
      <c r="N24" s="10" t="n"/>
    </row>
    <row r="25" ht="26" customHeight="1">
      <c r="A25" s="15" t="n"/>
      <c r="B25" s="15" t="n"/>
      <c r="C25" s="10" t="n"/>
      <c r="D25" s="15" t="n"/>
      <c r="E25" s="19" t="n"/>
      <c r="F25" s="19" t="n"/>
      <c r="G25" s="19" t="n"/>
      <c r="H25" s="19" t="n"/>
      <c r="I25" s="23">
        <f>IF(OR(F25="",H25=""),"",H25-F25)</f>
        <v/>
      </c>
      <c r="J25" s="31" t="n"/>
      <c r="K25" s="15" t="n"/>
      <c r="L25" s="15" t="n"/>
      <c r="M25" s="10" t="n"/>
      <c r="N25" s="10" t="n"/>
    </row>
    <row r="26" ht="26" customHeight="1">
      <c r="A26" s="15" t="n"/>
      <c r="B26" s="15" t="n"/>
      <c r="C26" s="10" t="n"/>
      <c r="D26" s="15" t="n"/>
      <c r="E26" s="19" t="n"/>
      <c r="F26" s="19" t="n"/>
      <c r="G26" s="19" t="n"/>
      <c r="H26" s="19" t="n"/>
      <c r="I26" s="23">
        <f>IF(OR(F26="",H26=""),"",H26-F26)</f>
        <v/>
      </c>
      <c r="J26" s="31" t="n"/>
      <c r="K26" s="15" t="n"/>
      <c r="L26" s="15" t="n"/>
      <c r="M26" s="10" t="n"/>
      <c r="N26" s="10" t="n"/>
    </row>
    <row r="27" ht="26" customHeight="1">
      <c r="A27" s="15" t="n"/>
      <c r="B27" s="15" t="n"/>
      <c r="C27" s="10" t="n"/>
      <c r="D27" s="15" t="n"/>
      <c r="E27" s="19" t="n"/>
      <c r="F27" s="19" t="n"/>
      <c r="G27" s="19" t="n"/>
      <c r="H27" s="19" t="n"/>
      <c r="I27" s="23">
        <f>IF(OR(F27="",H27=""),"",H27-F27)</f>
        <v/>
      </c>
      <c r="J27" s="31" t="n"/>
      <c r="K27" s="15" t="n"/>
      <c r="L27" s="15" t="n"/>
      <c r="M27" s="10" t="n"/>
      <c r="N27" s="10" t="n"/>
    </row>
    <row r="28" ht="26" customHeight="1">
      <c r="A28" s="15" t="n"/>
      <c r="B28" s="15" t="n"/>
      <c r="C28" s="10" t="n"/>
      <c r="D28" s="15" t="n"/>
      <c r="E28" s="19" t="n"/>
      <c r="F28" s="19" t="n"/>
      <c r="G28" s="19" t="n"/>
      <c r="H28" s="19" t="n"/>
      <c r="I28" s="23">
        <f>IF(OR(F28="",H28=""),"",H28-F28)</f>
        <v/>
      </c>
      <c r="J28" s="31" t="n"/>
      <c r="K28" s="15" t="n"/>
      <c r="L28" s="15" t="n"/>
      <c r="M28" s="10" t="n"/>
      <c r="N28" s="10" t="n"/>
    </row>
    <row r="29" ht="26" customHeight="1">
      <c r="A29" s="15" t="n"/>
      <c r="B29" s="15" t="n"/>
      <c r="C29" s="10" t="n"/>
      <c r="D29" s="15" t="n"/>
      <c r="E29" s="19" t="n"/>
      <c r="F29" s="19" t="n"/>
      <c r="G29" s="19" t="n"/>
      <c r="H29" s="19" t="n"/>
      <c r="I29" s="23">
        <f>IF(OR(F29="",H29=""),"",H29-F29)</f>
        <v/>
      </c>
      <c r="J29" s="31" t="n"/>
      <c r="K29" s="15" t="n"/>
      <c r="L29" s="15" t="n"/>
      <c r="M29" s="10" t="n"/>
      <c r="N29" s="10" t="n"/>
    </row>
    <row r="30" ht="26" customHeight="1">
      <c r="A30" s="15" t="n"/>
      <c r="B30" s="15" t="n"/>
      <c r="C30" s="10" t="n"/>
      <c r="D30" s="15" t="n"/>
      <c r="E30" s="19" t="n"/>
      <c r="F30" s="19" t="n"/>
      <c r="G30" s="19" t="n"/>
      <c r="H30" s="19" t="n"/>
      <c r="I30" s="23">
        <f>IF(OR(F30="",H30=""),"",H30-F30)</f>
        <v/>
      </c>
      <c r="J30" s="31" t="n"/>
      <c r="K30" s="15" t="n"/>
      <c r="L30" s="15" t="n"/>
      <c r="M30" s="10" t="n"/>
      <c r="N30" s="10" t="n"/>
    </row>
    <row r="31" ht="26" customHeight="1">
      <c r="A31" s="15" t="n"/>
      <c r="B31" s="15" t="n"/>
      <c r="C31" s="10" t="n"/>
      <c r="D31" s="15" t="n"/>
      <c r="E31" s="19" t="n"/>
      <c r="F31" s="19" t="n"/>
      <c r="G31" s="19" t="n"/>
      <c r="H31" s="19" t="n"/>
      <c r="I31" s="23">
        <f>IF(OR(F31="",H31=""),"",H31-F31)</f>
        <v/>
      </c>
      <c r="J31" s="31" t="n"/>
      <c r="K31" s="15" t="n"/>
      <c r="L31" s="15" t="n"/>
      <c r="M31" s="10" t="n"/>
      <c r="N31" s="10" t="n"/>
    </row>
    <row r="32" ht="26" customHeight="1">
      <c r="A32" s="15" t="n"/>
      <c r="B32" s="15" t="n"/>
      <c r="C32" s="10" t="n"/>
      <c r="D32" s="15" t="n"/>
      <c r="E32" s="19" t="n"/>
      <c r="F32" s="19" t="n"/>
      <c r="G32" s="19" t="n"/>
      <c r="H32" s="19" t="n"/>
      <c r="I32" s="23">
        <f>IF(OR(F32="",H32=""),"",H32-F32)</f>
        <v/>
      </c>
      <c r="J32" s="31" t="n"/>
      <c r="K32" s="15" t="n"/>
      <c r="L32" s="15" t="n"/>
      <c r="M32" s="10" t="n"/>
      <c r="N32" s="10" t="n"/>
    </row>
    <row r="33" ht="26" customHeight="1">
      <c r="A33" s="15" t="n"/>
      <c r="B33" s="15" t="n"/>
      <c r="C33" s="10" t="n"/>
      <c r="D33" s="15" t="n"/>
      <c r="E33" s="19" t="n"/>
      <c r="F33" s="19" t="n"/>
      <c r="G33" s="19" t="n"/>
      <c r="H33" s="19" t="n"/>
      <c r="I33" s="23">
        <f>IF(OR(F33="",H33=""),"",H33-F33)</f>
        <v/>
      </c>
      <c r="J33" s="31" t="n"/>
      <c r="K33" s="15" t="n"/>
      <c r="L33" s="15" t="n"/>
      <c r="M33" s="10" t="n"/>
      <c r="N33" s="10" t="n"/>
    </row>
    <row r="34" ht="26" customHeight="1">
      <c r="A34" s="15" t="n"/>
      <c r="B34" s="15" t="n"/>
      <c r="C34" s="10" t="n"/>
      <c r="D34" s="15" t="n"/>
      <c r="E34" s="19" t="n"/>
      <c r="F34" s="19" t="n"/>
      <c r="G34" s="19" t="n"/>
      <c r="H34" s="19" t="n"/>
      <c r="I34" s="23">
        <f>IF(OR(F34="",H34=""),"",H34-F34)</f>
        <v/>
      </c>
      <c r="J34" s="31" t="n"/>
      <c r="K34" s="15" t="n"/>
      <c r="L34" s="15" t="n"/>
      <c r="M34" s="10" t="n"/>
      <c r="N34" s="10" t="n"/>
    </row>
    <row r="35" ht="26" customHeight="1">
      <c r="A35" s="15" t="n"/>
      <c r="B35" s="15" t="n"/>
      <c r="C35" s="10" t="n"/>
      <c r="D35" s="15" t="n"/>
      <c r="E35" s="19" t="n"/>
      <c r="F35" s="19" t="n"/>
      <c r="G35" s="19" t="n"/>
      <c r="H35" s="19" t="n"/>
      <c r="I35" s="23">
        <f>IF(OR(F35="",H35=""),"",H35-F35)</f>
        <v/>
      </c>
      <c r="J35" s="31" t="n"/>
      <c r="K35" s="15" t="n"/>
      <c r="L35" s="15" t="n"/>
      <c r="M35" s="10" t="n"/>
      <c r="N35" s="10" t="n"/>
    </row>
    <row r="36" ht="26" customHeight="1">
      <c r="A36" s="15" t="n"/>
      <c r="B36" s="15" t="n"/>
      <c r="C36" s="10" t="n"/>
      <c r="D36" s="15" t="n"/>
      <c r="E36" s="19" t="n"/>
      <c r="F36" s="19" t="n"/>
      <c r="G36" s="19" t="n"/>
      <c r="H36" s="19" t="n"/>
      <c r="I36" s="23">
        <f>IF(OR(F36="",H36=""),"",H36-F36)</f>
        <v/>
      </c>
      <c r="J36" s="31" t="n"/>
      <c r="K36" s="15" t="n"/>
      <c r="L36" s="15" t="n"/>
      <c r="M36" s="10" t="n"/>
      <c r="N36" s="10" t="n"/>
    </row>
    <row r="37" ht="26" customHeight="1">
      <c r="A37" s="15" t="n"/>
      <c r="B37" s="15" t="n"/>
      <c r="C37" s="10" t="n"/>
      <c r="D37" s="15" t="n"/>
      <c r="E37" s="19" t="n"/>
      <c r="F37" s="19" t="n"/>
      <c r="G37" s="19" t="n"/>
      <c r="H37" s="19" t="n"/>
      <c r="I37" s="23">
        <f>IF(OR(F37="",H37=""),"",H37-F37)</f>
        <v/>
      </c>
      <c r="J37" s="31" t="n"/>
      <c r="K37" s="15" t="n"/>
      <c r="L37" s="15" t="n"/>
      <c r="M37" s="10" t="n"/>
      <c r="N37" s="10" t="n"/>
    </row>
  </sheetData>
  <mergeCells count="3">
    <mergeCell ref="I4:N4"/>
    <mergeCell ref="A2:N2"/>
    <mergeCell ref="A1:N1"/>
  </mergeCells>
  <dataValidations count="2">
    <dataValidation sqref="K7:K37" showDropDown="0" showInputMessage="0" showErrorMessage="0" allowBlank="1" type="list">
      <formula1>"該当,非該当"</formula1>
    </dataValidation>
    <dataValidation sqref="L7:L37" showDropDown="0" showInputMessage="0" showErrorMessage="0" allowBlank="1" type="list">
      <formula1>"要件・仕様の確定遅れ,設計手戻り,品質不良（不具合多発）,工数見積不足,要員の不足・離脱,外部連携・他社依存,環境・インフラ,お客様側ご対応待ち,その他"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26" customWidth="1" min="4" max="4"/>
    <col width="24" customWidth="1" min="5" max="5"/>
    <col width="24" customWidth="1" min="6" max="6"/>
    <col width="26" customWidth="1" min="7" max="7"/>
    <col width="16" customWidth="1" min="8" max="8"/>
    <col width="14" customWidth="1" min="9" max="9"/>
    <col width="30" customWidth="1" min="10" max="10"/>
    <col width="14" customWidth="1" min="11" max="11"/>
    <col width="14" customWidth="1" min="12" max="12"/>
  </cols>
  <sheetData>
    <row r="1" ht="26" customHeight="1">
      <c r="A1" s="1" t="inlineStr">
        <is>
          <t>原因分析（なぜなぜ・再発防止）</t>
        </is>
      </c>
    </row>
    <row r="2" ht="16" customHeight="1">
      <c r="A2" s="2" t="inlineStr">
        <is>
          <t>事象と原因を切り分けます。「真因」まで掘り下げないと再発防止策が対症療法になります。※“責任区分”は社内整理用です。社外提出時は取扱いにご注意ください。</t>
        </is>
      </c>
    </row>
    <row r="4" ht="32" customHeight="1">
      <c r="A4" s="5" t="inlineStr">
        <is>
          <t>No</t>
        </is>
      </c>
      <c r="B4" s="5" t="inlineStr">
        <is>
          <t>対象WBS No</t>
        </is>
      </c>
      <c r="C4" s="5" t="inlineStr">
        <is>
          <t>事象（発生した事実）</t>
        </is>
      </c>
      <c r="D4" s="5" t="inlineStr">
        <is>
          <t>直接原因</t>
        </is>
      </c>
      <c r="E4" s="5" t="inlineStr">
        <is>
          <t>なぜ①</t>
        </is>
      </c>
      <c r="F4" s="5" t="inlineStr">
        <is>
          <t>なぜ②</t>
        </is>
      </c>
      <c r="G4" s="5" t="inlineStr">
        <is>
          <t>真因（仕組み・体制上の原因）</t>
        </is>
      </c>
      <c r="H4" s="5" t="inlineStr">
        <is>
          <t>原因分類</t>
        </is>
      </c>
      <c r="I4" s="5" t="inlineStr">
        <is>
          <t>責任区分</t>
        </is>
      </c>
      <c r="J4" s="5" t="inlineStr">
        <is>
          <t>再発防止策</t>
        </is>
      </c>
      <c r="K4" s="5" t="inlineStr">
        <is>
          <t>実施時期</t>
        </is>
      </c>
      <c r="L4" s="5" t="inlineStr">
        <is>
          <t>責任者</t>
        </is>
      </c>
    </row>
    <row r="5" ht="60" customHeight="1">
      <c r="A5" s="27" t="n">
        <v>1</v>
      </c>
      <c r="B5" s="13" t="inlineStr">
        <is>
          <t>3.2.1</t>
        </is>
      </c>
      <c r="C5" s="13" t="inlineStr">
        <is>
          <t>結合テストで想定の1.8倍の不具合が発生し、消化が計画比10日遅れた。</t>
        </is>
      </c>
      <c r="D5" s="13" t="inlineStr">
        <is>
          <t>単体テストの網羅性が不足していた。</t>
        </is>
      </c>
      <c r="E5" s="13" t="inlineStr">
        <is>
          <t>テスト観点表のレビューを省略したため。</t>
        </is>
      </c>
      <c r="F5" s="13" t="inlineStr">
        <is>
          <t>設計遅れを吸収するため、レビュー工程を短縮する判断を現場が単独で行ったため。</t>
        </is>
      </c>
      <c r="G5" s="13" t="inlineStr">
        <is>
          <t>工程短縮の判断基準とエスカレーション基準が定義されておらず、品質工程の削減が可視化されない体制であった。</t>
        </is>
      </c>
      <c r="H5" s="13" t="inlineStr">
        <is>
          <t>プロセス</t>
        </is>
      </c>
      <c r="I5" s="13" t="inlineStr">
        <is>
          <t>自社</t>
        </is>
      </c>
      <c r="J5" s="13" t="inlineStr">
        <is>
          <t>工程短縮はPM承認を必須とし、品質ゲートのチェックリストを標準化する。</t>
        </is>
      </c>
      <c r="K5" s="13" t="inlineStr">
        <is>
          <t>2026年7月中</t>
        </is>
      </c>
      <c r="L5" s="13" t="inlineStr">
        <is>
          <t>PM 〇〇</t>
        </is>
      </c>
    </row>
    <row r="6" ht="44" customHeight="1">
      <c r="A6" s="15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44" customHeight="1">
      <c r="A7" s="15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44" customHeight="1">
      <c r="A8" s="15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44" customHeight="1">
      <c r="A9" s="15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44" customHeight="1">
      <c r="A10" s="15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44" customHeight="1">
      <c r="A11" s="15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44" customHeight="1">
      <c r="A12" s="15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44" customHeight="1">
      <c r="A13" s="15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44" customHeight="1">
      <c r="A14" s="15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44" customHeight="1">
      <c r="A15" s="15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44" customHeight="1">
      <c r="A16" s="15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44" customHeight="1">
      <c r="A17" s="15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44" customHeight="1">
      <c r="A18" s="1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44" customHeight="1">
      <c r="A19" s="15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44" customHeight="1">
      <c r="A20" s="15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44" customHeight="1">
      <c r="A21" s="15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44" customHeight="1">
      <c r="A22" s="15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44" customHeight="1">
      <c r="A23" s="15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44" customHeight="1">
      <c r="A24" s="15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44" customHeight="1">
      <c r="A25" s="15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</sheetData>
  <mergeCells count="2">
    <mergeCell ref="A2:L2"/>
    <mergeCell ref="A1:L1"/>
  </mergeCells>
  <dataValidations count="2">
    <dataValidation sqref="H5:H25" showDropDown="0" showInputMessage="0" showErrorMessage="0" allowBlank="1" type="list">
      <formula1>"要件・仕様,設計・技術,見積・計画,プロセス,体制・要員,コミュニケーション,外部要因"</formula1>
    </dataValidation>
    <dataValidation sqref="I5:I25" showDropDown="0" showInputMessage="0" showErrorMessage="0" allowBlank="1" type="list">
      <formula1>"自社,貴社,双方,外部（第三者）"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4" customWidth="1" min="4" max="4"/>
    <col width="12" customWidth="1" min="5" max="5"/>
    <col width="14" customWidth="1" min="6" max="6"/>
    <col width="26" customWidth="1" min="7" max="7"/>
    <col width="28" customWidth="1" min="8" max="8"/>
    <col width="10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リカバリ施策一覧と案の比較</t>
        </is>
      </c>
    </row>
    <row r="2" ht="16" customHeight="1">
      <c r="A2" s="2" t="inlineStr">
        <is>
          <t>打てる手をすべて出し、短縮日数・追加コスト・品質リスクで評価します。「採否」を“採用”にした施策のみが上部の合計と01_サマリに反映されます。</t>
        </is>
      </c>
    </row>
    <row r="4" ht="24" customHeight="1">
      <c r="A4" s="17" t="inlineStr">
        <is>
          <t>採用施策の短縮見込合計</t>
        </is>
      </c>
      <c r="B4" s="23">
        <f>SUMIF(I8:I27,"採用",E8:E27)</f>
        <v/>
      </c>
      <c r="C4" s="17" t="inlineStr">
        <is>
          <t>追加コスト合計</t>
        </is>
      </c>
      <c r="D4" s="25">
        <f>SUMIF(I8:I27,"採用",F8:F27)</f>
        <v/>
      </c>
      <c r="E4" s="17" t="inlineStr">
        <is>
          <t>採用件数</t>
        </is>
      </c>
      <c r="F4" s="24">
        <f>COUNTIF(I8:I27,"採用")</f>
        <v/>
      </c>
      <c r="G4" s="17" t="inlineStr">
        <is>
          <t>検討中件数</t>
        </is>
      </c>
      <c r="H4" s="24">
        <f>COUNTIF(I8:I27,"検討中")</f>
        <v/>
      </c>
      <c r="I4" s="2" t="inlineStr">
        <is>
          <t>※短縮日数は単純合算です。同一タスクへの重複計上・並行実施の限界に注意してください。</t>
        </is>
      </c>
    </row>
    <row r="6" ht="32" customHeight="1">
      <c r="A6" s="5" t="inlineStr">
        <is>
          <t>No</t>
        </is>
      </c>
      <c r="B6" s="5" t="inlineStr">
        <is>
          <t>施策名</t>
        </is>
      </c>
      <c r="C6" s="5" t="inlineStr">
        <is>
          <t>対象WBS No</t>
        </is>
      </c>
      <c r="D6" s="5" t="inlineStr">
        <is>
          <t>施策の内容</t>
        </is>
      </c>
      <c r="E6" s="5" t="inlineStr">
        <is>
          <t>短縮見込日数</t>
        </is>
      </c>
      <c r="F6" s="5" t="inlineStr">
        <is>
          <t>追加コスト</t>
        </is>
      </c>
      <c r="G6" s="5" t="inlineStr">
        <is>
          <t>品質・リスクへの影響</t>
        </is>
      </c>
      <c r="H6" s="5" t="inlineStr">
        <is>
          <t>前提条件／必要な意思決定</t>
        </is>
      </c>
      <c r="I6" s="5" t="inlineStr">
        <is>
          <t>採否</t>
        </is>
      </c>
      <c r="J6" s="5" t="inlineStr">
        <is>
          <t>担当</t>
        </is>
      </c>
      <c r="K6" s="5" t="inlineStr">
        <is>
          <t>開始予定</t>
        </is>
      </c>
      <c r="L6" s="5" t="inlineStr">
        <is>
          <t>完了予定</t>
        </is>
      </c>
    </row>
    <row r="7" ht="50" customHeight="1">
      <c r="A7" s="27" t="n">
        <v>1</v>
      </c>
      <c r="B7" s="13" t="inlineStr">
        <is>
          <t>結合テスト要員の増員</t>
        </is>
      </c>
      <c r="C7" s="27" t="inlineStr">
        <is>
          <t>3.2.1</t>
        </is>
      </c>
      <c r="D7" s="13" t="inlineStr">
        <is>
          <t>経験者2名を7/1から4週間投入し、不具合修正と再テストを並行実施する。</t>
        </is>
      </c>
      <c r="E7" s="29" t="n">
        <v>6</v>
      </c>
      <c r="F7" s="32" t="n">
        <v>1800000</v>
      </c>
      <c r="G7" s="13" t="inlineStr">
        <is>
          <t>立ち上がり期間中は品質確認の負荷が増えるため、レビュー体制を強化して吸収する。</t>
        </is>
      </c>
      <c r="H7" s="13" t="inlineStr">
        <is>
          <t>6/25までに要員確保の社内承認が必要。お客様のご負担は発生しない（自社負担）。</t>
        </is>
      </c>
      <c r="I7" s="27" t="inlineStr">
        <is>
          <t>採用</t>
        </is>
      </c>
      <c r="J7" s="13" t="inlineStr">
        <is>
          <t>PM 〇〇</t>
        </is>
      </c>
      <c r="K7" s="28" t="n">
        <v>46204</v>
      </c>
      <c r="L7" s="28" t="n">
        <v>46231</v>
      </c>
    </row>
    <row r="8" ht="34" customHeight="1">
      <c r="A8" s="15" t="n"/>
      <c r="B8" s="10" t="n"/>
      <c r="C8" s="15" t="n"/>
      <c r="D8" s="10" t="n"/>
      <c r="E8" s="33" t="n"/>
      <c r="F8" s="34" t="n"/>
      <c r="G8" s="10" t="n"/>
      <c r="H8" s="10" t="n"/>
      <c r="I8" s="15" t="n"/>
      <c r="J8" s="10" t="n"/>
      <c r="K8" s="19" t="n"/>
      <c r="L8" s="19" t="n"/>
    </row>
    <row r="9" ht="34" customHeight="1">
      <c r="A9" s="15" t="n"/>
      <c r="B9" s="10" t="n"/>
      <c r="C9" s="15" t="n"/>
      <c r="D9" s="10" t="n"/>
      <c r="E9" s="33" t="n"/>
      <c r="F9" s="34" t="n"/>
      <c r="G9" s="10" t="n"/>
      <c r="H9" s="10" t="n"/>
      <c r="I9" s="15" t="n"/>
      <c r="J9" s="10" t="n"/>
      <c r="K9" s="19" t="n"/>
      <c r="L9" s="19" t="n"/>
    </row>
    <row r="10" ht="34" customHeight="1">
      <c r="A10" s="15" t="n"/>
      <c r="B10" s="10" t="n"/>
      <c r="C10" s="15" t="n"/>
      <c r="D10" s="10" t="n"/>
      <c r="E10" s="33" t="n"/>
      <c r="F10" s="34" t="n"/>
      <c r="G10" s="10" t="n"/>
      <c r="H10" s="10" t="n"/>
      <c r="I10" s="15" t="n"/>
      <c r="J10" s="10" t="n"/>
      <c r="K10" s="19" t="n"/>
      <c r="L10" s="19" t="n"/>
    </row>
    <row r="11" ht="34" customHeight="1">
      <c r="A11" s="15" t="n"/>
      <c r="B11" s="10" t="n"/>
      <c r="C11" s="15" t="n"/>
      <c r="D11" s="10" t="n"/>
      <c r="E11" s="33" t="n"/>
      <c r="F11" s="34" t="n"/>
      <c r="G11" s="10" t="n"/>
      <c r="H11" s="10" t="n"/>
      <c r="I11" s="15" t="n"/>
      <c r="J11" s="10" t="n"/>
      <c r="K11" s="19" t="n"/>
      <c r="L11" s="19" t="n"/>
    </row>
    <row r="12" ht="34" customHeight="1">
      <c r="A12" s="15" t="n"/>
      <c r="B12" s="10" t="n"/>
      <c r="C12" s="15" t="n"/>
      <c r="D12" s="10" t="n"/>
      <c r="E12" s="33" t="n"/>
      <c r="F12" s="34" t="n"/>
      <c r="G12" s="10" t="n"/>
      <c r="H12" s="10" t="n"/>
      <c r="I12" s="15" t="n"/>
      <c r="J12" s="10" t="n"/>
      <c r="K12" s="19" t="n"/>
      <c r="L12" s="19" t="n"/>
    </row>
    <row r="13" ht="34" customHeight="1">
      <c r="A13" s="15" t="n"/>
      <c r="B13" s="10" t="n"/>
      <c r="C13" s="15" t="n"/>
      <c r="D13" s="10" t="n"/>
      <c r="E13" s="33" t="n"/>
      <c r="F13" s="34" t="n"/>
      <c r="G13" s="10" t="n"/>
      <c r="H13" s="10" t="n"/>
      <c r="I13" s="15" t="n"/>
      <c r="J13" s="10" t="n"/>
      <c r="K13" s="19" t="n"/>
      <c r="L13" s="19" t="n"/>
    </row>
    <row r="14" ht="34" customHeight="1">
      <c r="A14" s="15" t="n"/>
      <c r="B14" s="10" t="n"/>
      <c r="C14" s="15" t="n"/>
      <c r="D14" s="10" t="n"/>
      <c r="E14" s="33" t="n"/>
      <c r="F14" s="34" t="n"/>
      <c r="G14" s="10" t="n"/>
      <c r="H14" s="10" t="n"/>
      <c r="I14" s="15" t="n"/>
      <c r="J14" s="10" t="n"/>
      <c r="K14" s="19" t="n"/>
      <c r="L14" s="19" t="n"/>
    </row>
    <row r="15" ht="34" customHeight="1">
      <c r="A15" s="15" t="n"/>
      <c r="B15" s="10" t="n"/>
      <c r="C15" s="15" t="n"/>
      <c r="D15" s="10" t="n"/>
      <c r="E15" s="33" t="n"/>
      <c r="F15" s="34" t="n"/>
      <c r="G15" s="10" t="n"/>
      <c r="H15" s="10" t="n"/>
      <c r="I15" s="15" t="n"/>
      <c r="J15" s="10" t="n"/>
      <c r="K15" s="19" t="n"/>
      <c r="L15" s="19" t="n"/>
    </row>
    <row r="16" ht="34" customHeight="1">
      <c r="A16" s="15" t="n"/>
      <c r="B16" s="10" t="n"/>
      <c r="C16" s="15" t="n"/>
      <c r="D16" s="10" t="n"/>
      <c r="E16" s="33" t="n"/>
      <c r="F16" s="34" t="n"/>
      <c r="G16" s="10" t="n"/>
      <c r="H16" s="10" t="n"/>
      <c r="I16" s="15" t="n"/>
      <c r="J16" s="10" t="n"/>
      <c r="K16" s="19" t="n"/>
      <c r="L16" s="19" t="n"/>
    </row>
    <row r="17" ht="34" customHeight="1">
      <c r="A17" s="15" t="n"/>
      <c r="B17" s="10" t="n"/>
      <c r="C17" s="15" t="n"/>
      <c r="D17" s="10" t="n"/>
      <c r="E17" s="33" t="n"/>
      <c r="F17" s="34" t="n"/>
      <c r="G17" s="10" t="n"/>
      <c r="H17" s="10" t="n"/>
      <c r="I17" s="15" t="n"/>
      <c r="J17" s="10" t="n"/>
      <c r="K17" s="19" t="n"/>
      <c r="L17" s="19" t="n"/>
    </row>
    <row r="18" ht="34" customHeight="1">
      <c r="A18" s="15" t="n"/>
      <c r="B18" s="10" t="n"/>
      <c r="C18" s="15" t="n"/>
      <c r="D18" s="10" t="n"/>
      <c r="E18" s="33" t="n"/>
      <c r="F18" s="34" t="n"/>
      <c r="G18" s="10" t="n"/>
      <c r="H18" s="10" t="n"/>
      <c r="I18" s="15" t="n"/>
      <c r="J18" s="10" t="n"/>
      <c r="K18" s="19" t="n"/>
      <c r="L18" s="19" t="n"/>
    </row>
    <row r="19" ht="34" customHeight="1">
      <c r="A19" s="15" t="n"/>
      <c r="B19" s="10" t="n"/>
      <c r="C19" s="15" t="n"/>
      <c r="D19" s="10" t="n"/>
      <c r="E19" s="33" t="n"/>
      <c r="F19" s="34" t="n"/>
      <c r="G19" s="10" t="n"/>
      <c r="H19" s="10" t="n"/>
      <c r="I19" s="15" t="n"/>
      <c r="J19" s="10" t="n"/>
      <c r="K19" s="19" t="n"/>
      <c r="L19" s="19" t="n"/>
    </row>
    <row r="20" ht="34" customHeight="1">
      <c r="A20" s="15" t="n"/>
      <c r="B20" s="10" t="n"/>
      <c r="C20" s="15" t="n"/>
      <c r="D20" s="10" t="n"/>
      <c r="E20" s="33" t="n"/>
      <c r="F20" s="34" t="n"/>
      <c r="G20" s="10" t="n"/>
      <c r="H20" s="10" t="n"/>
      <c r="I20" s="15" t="n"/>
      <c r="J20" s="10" t="n"/>
      <c r="K20" s="19" t="n"/>
      <c r="L20" s="19" t="n"/>
    </row>
    <row r="21" ht="34" customHeight="1">
      <c r="A21" s="15" t="n"/>
      <c r="B21" s="10" t="n"/>
      <c r="C21" s="15" t="n"/>
      <c r="D21" s="10" t="n"/>
      <c r="E21" s="33" t="n"/>
      <c r="F21" s="34" t="n"/>
      <c r="G21" s="10" t="n"/>
      <c r="H21" s="10" t="n"/>
      <c r="I21" s="15" t="n"/>
      <c r="J21" s="10" t="n"/>
      <c r="K21" s="19" t="n"/>
      <c r="L21" s="19" t="n"/>
    </row>
    <row r="22" ht="34" customHeight="1">
      <c r="A22" s="15" t="n"/>
      <c r="B22" s="10" t="n"/>
      <c r="C22" s="15" t="n"/>
      <c r="D22" s="10" t="n"/>
      <c r="E22" s="33" t="n"/>
      <c r="F22" s="34" t="n"/>
      <c r="G22" s="10" t="n"/>
      <c r="H22" s="10" t="n"/>
      <c r="I22" s="15" t="n"/>
      <c r="J22" s="10" t="n"/>
      <c r="K22" s="19" t="n"/>
      <c r="L22" s="19" t="n"/>
    </row>
    <row r="23" ht="34" customHeight="1">
      <c r="A23" s="15" t="n"/>
      <c r="B23" s="10" t="n"/>
      <c r="C23" s="15" t="n"/>
      <c r="D23" s="10" t="n"/>
      <c r="E23" s="33" t="n"/>
      <c r="F23" s="34" t="n"/>
      <c r="G23" s="10" t="n"/>
      <c r="H23" s="10" t="n"/>
      <c r="I23" s="15" t="n"/>
      <c r="J23" s="10" t="n"/>
      <c r="K23" s="19" t="n"/>
      <c r="L23" s="19" t="n"/>
    </row>
    <row r="24" ht="34" customHeight="1">
      <c r="A24" s="15" t="n"/>
      <c r="B24" s="10" t="n"/>
      <c r="C24" s="15" t="n"/>
      <c r="D24" s="10" t="n"/>
      <c r="E24" s="33" t="n"/>
      <c r="F24" s="34" t="n"/>
      <c r="G24" s="10" t="n"/>
      <c r="H24" s="10" t="n"/>
      <c r="I24" s="15" t="n"/>
      <c r="J24" s="10" t="n"/>
      <c r="K24" s="19" t="n"/>
      <c r="L24" s="19" t="n"/>
    </row>
    <row r="25" ht="34" customHeight="1">
      <c r="A25" s="15" t="n"/>
      <c r="B25" s="10" t="n"/>
      <c r="C25" s="15" t="n"/>
      <c r="D25" s="10" t="n"/>
      <c r="E25" s="33" t="n"/>
      <c r="F25" s="34" t="n"/>
      <c r="G25" s="10" t="n"/>
      <c r="H25" s="10" t="n"/>
      <c r="I25" s="15" t="n"/>
      <c r="J25" s="10" t="n"/>
      <c r="K25" s="19" t="n"/>
      <c r="L25" s="19" t="n"/>
    </row>
    <row r="26" ht="34" customHeight="1">
      <c r="A26" s="15" t="n"/>
      <c r="B26" s="10" t="n"/>
      <c r="C26" s="15" t="n"/>
      <c r="D26" s="10" t="n"/>
      <c r="E26" s="33" t="n"/>
      <c r="F26" s="34" t="n"/>
      <c r="G26" s="10" t="n"/>
      <c r="H26" s="10" t="n"/>
      <c r="I26" s="15" t="n"/>
      <c r="J26" s="10" t="n"/>
      <c r="K26" s="19" t="n"/>
      <c r="L26" s="19" t="n"/>
    </row>
    <row r="27" ht="34" customHeight="1">
      <c r="A27" s="15" t="n"/>
      <c r="B27" s="10" t="n"/>
      <c r="C27" s="15" t="n"/>
      <c r="D27" s="10" t="n"/>
      <c r="E27" s="33" t="n"/>
      <c r="F27" s="34" t="n"/>
      <c r="G27" s="10" t="n"/>
      <c r="H27" s="10" t="n"/>
      <c r="I27" s="15" t="n"/>
      <c r="J27" s="10" t="n"/>
      <c r="K27" s="19" t="n"/>
      <c r="L27" s="19" t="n"/>
    </row>
    <row r="29" ht="20" customHeight="1">
      <c r="A29" s="3" t="inlineStr">
        <is>
          <t>リカバリ案の比較（お客様にご判断いただく際の材料）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24" customHeight="1">
      <c r="A30" s="5" t="inlineStr">
        <is>
          <t>比較項目</t>
        </is>
      </c>
      <c r="B30" s="5" t="inlineStr">
        <is>
          <t>案A（自社対応で吸収）</t>
        </is>
      </c>
      <c r="C30" s="7" t="n"/>
      <c r="D30" s="5" t="inlineStr">
        <is>
          <t>案B（スコープ分割）</t>
        </is>
      </c>
      <c r="E30" s="7" t="n"/>
      <c r="F30" s="5" t="inlineStr">
        <is>
          <t>案C（納期変更）</t>
        </is>
      </c>
      <c r="G30" s="7" t="n"/>
      <c r="H30" s="5" t="inlineStr">
        <is>
          <t>推奨・コメント</t>
        </is>
      </c>
      <c r="I30" s="6" t="n"/>
      <c r="J30" s="6" t="n"/>
      <c r="K30" s="6" t="n"/>
      <c r="L30" s="7" t="n"/>
    </row>
    <row r="31" ht="32" customHeight="1">
      <c r="A31" s="17" t="inlineStr">
        <is>
          <t>方針の概要</t>
        </is>
      </c>
      <c r="B31" s="10" t="inlineStr">
        <is>
          <t>増員・並行作業により当初納期を維持する。</t>
        </is>
      </c>
      <c r="C31" s="10" t="n"/>
      <c r="D31" s="10" t="inlineStr">
        <is>
          <t>一部機能を第2次リリースへ分割し、主要機能の納期を維持する。</t>
        </is>
      </c>
      <c r="E31" s="10" t="n"/>
      <c r="F31" s="10" t="inlineStr">
        <is>
          <t>全機能を維持し、納期を〇日延伸する。</t>
        </is>
      </c>
      <c r="G31" s="10" t="n"/>
      <c r="H31" s="35" t="n"/>
      <c r="I31" s="10" t="n"/>
      <c r="J31" s="10" t="n"/>
      <c r="K31" s="10" t="n"/>
      <c r="L31" s="10" t="n"/>
    </row>
    <row r="32" ht="32" customHeight="1">
      <c r="A32" s="17" t="inlineStr">
        <is>
          <t>主な施策</t>
        </is>
      </c>
      <c r="B32" s="10" t="inlineStr">
        <is>
          <t>要員2名増員／テスト自動化</t>
        </is>
      </c>
      <c r="C32" s="10" t="n"/>
      <c r="D32" s="10" t="inlineStr">
        <is>
          <t>〇〇機能を第2次へ／受入範囲の見直し</t>
        </is>
      </c>
      <c r="E32" s="10" t="n"/>
      <c r="F32" s="10" t="inlineStr">
        <is>
          <t>工程再計画のみ</t>
        </is>
      </c>
      <c r="G32" s="10" t="n"/>
      <c r="H32" s="35" t="n"/>
      <c r="I32" s="10" t="n"/>
      <c r="J32" s="10" t="n"/>
      <c r="K32" s="10" t="n"/>
      <c r="L32" s="10" t="n"/>
    </row>
    <row r="33" ht="32" customHeight="1">
      <c r="A33" s="17" t="inlineStr">
        <is>
          <t>短縮見込日数</t>
        </is>
      </c>
      <c r="B33" s="10" t="n"/>
      <c r="C33" s="10" t="n"/>
      <c r="D33" s="10" t="n"/>
      <c r="E33" s="10" t="n"/>
      <c r="F33" s="10" t="n"/>
      <c r="G33" s="10" t="n"/>
      <c r="H33" s="35" t="inlineStr">
        <is>
          <t>04上表の採用施策合計と整合させる</t>
        </is>
      </c>
      <c r="I33" s="10" t="n"/>
      <c r="J33" s="10" t="n"/>
      <c r="K33" s="10" t="n"/>
      <c r="L33" s="10" t="n"/>
    </row>
    <row r="34" ht="32" customHeight="1">
      <c r="A34" s="17" t="inlineStr">
        <is>
          <t>追加コスト</t>
        </is>
      </c>
      <c r="B34" s="10" t="n"/>
      <c r="C34" s="10" t="n"/>
      <c r="D34" s="10" t="n"/>
      <c r="E34" s="10" t="n"/>
      <c r="F34" s="10" t="n"/>
      <c r="G34" s="10" t="n"/>
      <c r="H34" s="35" t="inlineStr">
        <is>
          <t>負担者（自社／貴社）を必ず明記</t>
        </is>
      </c>
      <c r="I34" s="10" t="n"/>
      <c r="J34" s="10" t="n"/>
      <c r="K34" s="10" t="n"/>
      <c r="L34" s="10" t="n"/>
    </row>
    <row r="35" ht="32" customHeight="1">
      <c r="A35" s="17" t="inlineStr">
        <is>
          <t>品質リスク</t>
        </is>
      </c>
      <c r="B35" s="10" t="inlineStr">
        <is>
          <t>中（短期投入による立上げ負荷）</t>
        </is>
      </c>
      <c r="C35" s="10" t="n"/>
      <c r="D35" s="10" t="inlineStr">
        <is>
          <t>低</t>
        </is>
      </c>
      <c r="E35" s="10" t="n"/>
      <c r="F35" s="10" t="inlineStr">
        <is>
          <t>低</t>
        </is>
      </c>
      <c r="G35" s="10" t="n"/>
      <c r="H35" s="35" t="n"/>
      <c r="I35" s="10" t="n"/>
      <c r="J35" s="10" t="n"/>
      <c r="K35" s="10" t="n"/>
      <c r="L35" s="10" t="n"/>
    </row>
    <row r="36" ht="32" customHeight="1">
      <c r="A36" s="17" t="inlineStr">
        <is>
          <t>お客様へのご負担</t>
        </is>
      </c>
      <c r="B36" s="10" t="inlineStr">
        <is>
          <t>なし</t>
        </is>
      </c>
      <c r="C36" s="10" t="n"/>
      <c r="D36" s="10" t="inlineStr">
        <is>
          <t>第2次リリースの受入体制が別途必要</t>
        </is>
      </c>
      <c r="E36" s="10" t="n"/>
      <c r="F36" s="10" t="inlineStr">
        <is>
          <t>業務開始時期の後ろ倒し</t>
        </is>
      </c>
      <c r="G36" s="10" t="n"/>
      <c r="H36" s="35" t="n"/>
      <c r="I36" s="10" t="n"/>
      <c r="J36" s="10" t="n"/>
      <c r="K36" s="10" t="n"/>
      <c r="L36" s="10" t="n"/>
    </row>
    <row r="37" ht="32" customHeight="1">
      <c r="A37" s="17" t="inlineStr">
        <is>
          <t>推奨度</t>
        </is>
      </c>
      <c r="B37" s="10" t="inlineStr">
        <is>
          <t>◎</t>
        </is>
      </c>
      <c r="C37" s="10" t="n"/>
      <c r="D37" s="10" t="inlineStr">
        <is>
          <t>〇</t>
        </is>
      </c>
      <c r="E37" s="10" t="n"/>
      <c r="F37" s="10" t="inlineStr">
        <is>
          <t>△</t>
        </is>
      </c>
      <c r="G37" s="10" t="n"/>
      <c r="H37" s="35" t="inlineStr">
        <is>
          <t>推奨案とその理由を明記</t>
        </is>
      </c>
      <c r="I37" s="10" t="n"/>
      <c r="J37" s="10" t="n"/>
      <c r="K37" s="10" t="n"/>
      <c r="L37" s="10" t="n"/>
    </row>
  </sheetData>
  <mergeCells count="36">
    <mergeCell ref="H30:L30"/>
    <mergeCell ref="H35:L35"/>
    <mergeCell ref="D34:E34"/>
    <mergeCell ref="F34:G34"/>
    <mergeCell ref="I4:L4"/>
    <mergeCell ref="B31:C31"/>
    <mergeCell ref="D36:E36"/>
    <mergeCell ref="D31:E31"/>
    <mergeCell ref="H31:L31"/>
    <mergeCell ref="H34:L34"/>
    <mergeCell ref="A2:L2"/>
    <mergeCell ref="F30:G30"/>
    <mergeCell ref="F33:G33"/>
    <mergeCell ref="D32:E32"/>
    <mergeCell ref="F36:G36"/>
    <mergeCell ref="H36:L36"/>
    <mergeCell ref="F32:G32"/>
    <mergeCell ref="F35:G35"/>
    <mergeCell ref="A29:L29"/>
    <mergeCell ref="B34:C34"/>
    <mergeCell ref="B37:C37"/>
    <mergeCell ref="H32:L32"/>
    <mergeCell ref="D37:E37"/>
    <mergeCell ref="F31:G31"/>
    <mergeCell ref="H37:L37"/>
    <mergeCell ref="F37:G37"/>
    <mergeCell ref="B30:C30"/>
    <mergeCell ref="D30:E30"/>
    <mergeCell ref="B33:C33"/>
    <mergeCell ref="D33:E33"/>
    <mergeCell ref="A1:L1"/>
    <mergeCell ref="B36:C36"/>
    <mergeCell ref="H33:L33"/>
    <mergeCell ref="B32:C32"/>
    <mergeCell ref="B35:C35"/>
    <mergeCell ref="D35:E35"/>
  </mergeCells>
  <dataValidations count="1">
    <dataValidation sqref="I7:I27" showDropDown="0" showInputMessage="0" showErrorMessage="0" allowBlank="1" type="list">
      <formula1>"採用,検討中,不採用"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2" customWidth="1" min="5" max="5"/>
    <col width="14" customWidth="1" min="6" max="6"/>
    <col width="40" customWidth="1" min="7" max="7"/>
    <col width="24" customWidth="1" min="8" max="8"/>
  </cols>
  <sheetData>
    <row r="1" ht="26" customHeight="1">
      <c r="A1" s="1" t="inlineStr">
        <is>
          <t>新スケジュール（変更後マイルストーン）</t>
        </is>
      </c>
    </row>
    <row r="2" ht="16" customHeight="1">
      <c r="A2" s="2" t="inlineStr">
        <is>
          <t>採用施策を織り込んだ新しい日程です。B5／C5の最終納品日は「01_サマリ」に自動連携します。前提条件は必ず明記してください。</t>
        </is>
      </c>
    </row>
    <row r="4" ht="20" customHeight="1">
      <c r="A4" s="3" t="inlineStr">
        <is>
          <t>最終納品日（この2セルが 01_サマリ に連携します）</t>
        </is>
      </c>
      <c r="B4" s="4" t="n"/>
      <c r="C4" s="4" t="n"/>
      <c r="D4" s="4" t="n"/>
      <c r="E4" s="4" t="n"/>
      <c r="F4" s="4" t="n"/>
      <c r="G4" s="4" t="n"/>
      <c r="H4" s="4" t="n"/>
    </row>
    <row r="5" ht="24" customHeight="1">
      <c r="A5" s="17" t="inlineStr">
        <is>
          <t>最終納品日</t>
        </is>
      </c>
      <c r="B5" s="19" t="n"/>
      <c r="C5" s="19" t="n"/>
      <c r="D5" s="23">
        <f>IF(OR(B5="",C5=""),"",C5-B5)</f>
        <v/>
      </c>
      <c r="E5" s="2" t="inlineStr">
        <is>
          <t>←（当初）B5　（変更後）C5　（差異）D5</t>
        </is>
      </c>
    </row>
    <row r="7" ht="32" customHeight="1">
      <c r="A7" s="5" t="inlineStr">
        <is>
          <t>No</t>
        </is>
      </c>
      <c r="B7" s="5" t="inlineStr">
        <is>
          <t>マイルストーン</t>
        </is>
      </c>
      <c r="C7" s="5" t="inlineStr">
        <is>
          <t>当初計画日</t>
        </is>
      </c>
      <c r="D7" s="5" t="inlineStr">
        <is>
          <t>変更後計画日</t>
        </is>
      </c>
      <c r="E7" s="5" t="inlineStr">
        <is>
          <t>差異</t>
        </is>
      </c>
      <c r="F7" s="5" t="inlineStr">
        <is>
          <t>状態</t>
        </is>
      </c>
      <c r="G7" s="5" t="inlineStr">
        <is>
          <t>前提条件・条件付き事項</t>
        </is>
      </c>
      <c r="H7" s="5" t="inlineStr">
        <is>
          <t>備考</t>
        </is>
      </c>
    </row>
    <row r="8" ht="26" customHeight="1">
      <c r="A8" s="27" t="n">
        <v>1</v>
      </c>
      <c r="B8" s="13" t="inlineStr">
        <is>
          <t>結合テスト完了</t>
        </is>
      </c>
      <c r="C8" s="28" t="n">
        <v>46192</v>
      </c>
      <c r="D8" s="28" t="n">
        <v>46206</v>
      </c>
      <c r="E8" s="29">
        <f>IF(OR(C8="",D8=""),"",D8-C8)</f>
        <v/>
      </c>
      <c r="F8" s="27" t="inlineStr">
        <is>
          <t>変更</t>
        </is>
      </c>
      <c r="G8" s="13" t="inlineStr">
        <is>
          <t>7/1からの増員2名が確保できること</t>
        </is>
      </c>
      <c r="H8" s="13" t="inlineStr">
        <is>
          <t>クリティカルパス上</t>
        </is>
      </c>
    </row>
    <row r="9" ht="26" customHeight="1">
      <c r="A9" s="15" t="n"/>
      <c r="B9" s="10" t="n"/>
      <c r="C9" s="19" t="n"/>
      <c r="D9" s="19" t="n"/>
      <c r="E9" s="23">
        <f>IF(OR(C9="",D9=""),"",D9-C9)</f>
        <v/>
      </c>
      <c r="F9" s="15" t="n"/>
      <c r="G9" s="10" t="n"/>
      <c r="H9" s="10" t="n"/>
    </row>
    <row r="10" ht="26" customHeight="1">
      <c r="A10" s="15" t="n"/>
      <c r="B10" s="10" t="n"/>
      <c r="C10" s="19" t="n"/>
      <c r="D10" s="19" t="n"/>
      <c r="E10" s="23">
        <f>IF(OR(C10="",D10=""),"",D10-C10)</f>
        <v/>
      </c>
      <c r="F10" s="15" t="n"/>
      <c r="G10" s="10" t="n"/>
      <c r="H10" s="10" t="n"/>
    </row>
    <row r="11" ht="26" customHeight="1">
      <c r="A11" s="15" t="n"/>
      <c r="B11" s="10" t="n"/>
      <c r="C11" s="19" t="n"/>
      <c r="D11" s="19" t="n"/>
      <c r="E11" s="23">
        <f>IF(OR(C11="",D11=""),"",D11-C11)</f>
        <v/>
      </c>
      <c r="F11" s="15" t="n"/>
      <c r="G11" s="10" t="n"/>
      <c r="H11" s="10" t="n"/>
    </row>
    <row r="12" ht="26" customHeight="1">
      <c r="A12" s="15" t="n"/>
      <c r="B12" s="10" t="n"/>
      <c r="C12" s="19" t="n"/>
      <c r="D12" s="19" t="n"/>
      <c r="E12" s="23">
        <f>IF(OR(C12="",D12=""),"",D12-C12)</f>
        <v/>
      </c>
      <c r="F12" s="15" t="n"/>
      <c r="G12" s="10" t="n"/>
      <c r="H12" s="10" t="n"/>
    </row>
    <row r="13" ht="26" customHeight="1">
      <c r="A13" s="15" t="n"/>
      <c r="B13" s="10" t="n"/>
      <c r="C13" s="19" t="n"/>
      <c r="D13" s="19" t="n"/>
      <c r="E13" s="23">
        <f>IF(OR(C13="",D13=""),"",D13-C13)</f>
        <v/>
      </c>
      <c r="F13" s="15" t="n"/>
      <c r="G13" s="10" t="n"/>
      <c r="H13" s="10" t="n"/>
    </row>
    <row r="14" ht="26" customHeight="1">
      <c r="A14" s="15" t="n"/>
      <c r="B14" s="10" t="n"/>
      <c r="C14" s="19" t="n"/>
      <c r="D14" s="19" t="n"/>
      <c r="E14" s="23">
        <f>IF(OR(C14="",D14=""),"",D14-C14)</f>
        <v/>
      </c>
      <c r="F14" s="15" t="n"/>
      <c r="G14" s="10" t="n"/>
      <c r="H14" s="10" t="n"/>
    </row>
    <row r="15" ht="26" customHeight="1">
      <c r="A15" s="15" t="n"/>
      <c r="B15" s="10" t="n"/>
      <c r="C15" s="19" t="n"/>
      <c r="D15" s="19" t="n"/>
      <c r="E15" s="23">
        <f>IF(OR(C15="",D15=""),"",D15-C15)</f>
        <v/>
      </c>
      <c r="F15" s="15" t="n"/>
      <c r="G15" s="10" t="n"/>
      <c r="H15" s="10" t="n"/>
    </row>
    <row r="16" ht="26" customHeight="1">
      <c r="A16" s="15" t="n"/>
      <c r="B16" s="10" t="n"/>
      <c r="C16" s="19" t="n"/>
      <c r="D16" s="19" t="n"/>
      <c r="E16" s="23">
        <f>IF(OR(C16="",D16=""),"",D16-C16)</f>
        <v/>
      </c>
      <c r="F16" s="15" t="n"/>
      <c r="G16" s="10" t="n"/>
      <c r="H16" s="10" t="n"/>
    </row>
    <row r="17" ht="26" customHeight="1">
      <c r="A17" s="15" t="n"/>
      <c r="B17" s="10" t="n"/>
      <c r="C17" s="19" t="n"/>
      <c r="D17" s="19" t="n"/>
      <c r="E17" s="23">
        <f>IF(OR(C17="",D17=""),"",D17-C17)</f>
        <v/>
      </c>
      <c r="F17" s="15" t="n"/>
      <c r="G17" s="10" t="n"/>
      <c r="H17" s="10" t="n"/>
    </row>
    <row r="18" ht="26" customHeight="1">
      <c r="A18" s="15" t="n"/>
      <c r="B18" s="10" t="n"/>
      <c r="C18" s="19" t="n"/>
      <c r="D18" s="19" t="n"/>
      <c r="E18" s="23">
        <f>IF(OR(C18="",D18=""),"",D18-C18)</f>
        <v/>
      </c>
      <c r="F18" s="15" t="n"/>
      <c r="G18" s="10" t="n"/>
      <c r="H18" s="10" t="n"/>
    </row>
    <row r="19" ht="26" customHeight="1">
      <c r="A19" s="15" t="n"/>
      <c r="B19" s="10" t="n"/>
      <c r="C19" s="19" t="n"/>
      <c r="D19" s="19" t="n"/>
      <c r="E19" s="23">
        <f>IF(OR(C19="",D19=""),"",D19-C19)</f>
        <v/>
      </c>
      <c r="F19" s="15" t="n"/>
      <c r="G19" s="10" t="n"/>
      <c r="H19" s="10" t="n"/>
    </row>
    <row r="20" ht="26" customHeight="1">
      <c r="A20" s="15" t="n"/>
      <c r="B20" s="10" t="n"/>
      <c r="C20" s="19" t="n"/>
      <c r="D20" s="19" t="n"/>
      <c r="E20" s="23">
        <f>IF(OR(C20="",D20=""),"",D20-C20)</f>
        <v/>
      </c>
      <c r="F20" s="15" t="n"/>
      <c r="G20" s="10" t="n"/>
      <c r="H20" s="10" t="n"/>
    </row>
    <row r="21" ht="26" customHeight="1">
      <c r="A21" s="15" t="n"/>
      <c r="B21" s="10" t="n"/>
      <c r="C21" s="19" t="n"/>
      <c r="D21" s="19" t="n"/>
      <c r="E21" s="23">
        <f>IF(OR(C21="",D21=""),"",D21-C21)</f>
        <v/>
      </c>
      <c r="F21" s="15" t="n"/>
      <c r="G21" s="10" t="n"/>
      <c r="H21" s="10" t="n"/>
    </row>
    <row r="22" ht="26" customHeight="1">
      <c r="A22" s="15" t="n"/>
      <c r="B22" s="10" t="n"/>
      <c r="C22" s="19" t="n"/>
      <c r="D22" s="19" t="n"/>
      <c r="E22" s="23">
        <f>IF(OR(C22="",D22=""),"",D22-C22)</f>
        <v/>
      </c>
      <c r="F22" s="15" t="n"/>
      <c r="G22" s="10" t="n"/>
      <c r="H22" s="10" t="n"/>
    </row>
    <row r="23" ht="26" customHeight="1">
      <c r="A23" s="15" t="n"/>
      <c r="B23" s="10" t="n"/>
      <c r="C23" s="19" t="n"/>
      <c r="D23" s="19" t="n"/>
      <c r="E23" s="23">
        <f>IF(OR(C23="",D23=""),"",D23-C23)</f>
        <v/>
      </c>
      <c r="F23" s="15" t="n"/>
      <c r="G23" s="10" t="n"/>
      <c r="H23" s="10" t="n"/>
    </row>
    <row r="24" ht="26" customHeight="1">
      <c r="A24" s="15" t="n"/>
      <c r="B24" s="10" t="n"/>
      <c r="C24" s="19" t="n"/>
      <c r="D24" s="19" t="n"/>
      <c r="E24" s="23">
        <f>IF(OR(C24="",D24=""),"",D24-C24)</f>
        <v/>
      </c>
      <c r="F24" s="15" t="n"/>
      <c r="G24" s="10" t="n"/>
      <c r="H24" s="10" t="n"/>
    </row>
    <row r="25" ht="26" customHeight="1">
      <c r="A25" s="15" t="n"/>
      <c r="B25" s="10" t="n"/>
      <c r="C25" s="19" t="n"/>
      <c r="D25" s="19" t="n"/>
      <c r="E25" s="23">
        <f>IF(OR(C25="",D25=""),"",D25-C25)</f>
        <v/>
      </c>
      <c r="F25" s="15" t="n"/>
      <c r="G25" s="10" t="n"/>
      <c r="H25" s="10" t="n"/>
    </row>
    <row r="26" ht="26" customHeight="1">
      <c r="A26" s="15" t="n"/>
      <c r="B26" s="10" t="n"/>
      <c r="C26" s="19" t="n"/>
      <c r="D26" s="19" t="n"/>
      <c r="E26" s="23">
        <f>IF(OR(C26="",D26=""),"",D26-C26)</f>
        <v/>
      </c>
      <c r="F26" s="15" t="n"/>
      <c r="G26" s="10" t="n"/>
      <c r="H26" s="10" t="n"/>
    </row>
    <row r="27" ht="26" customHeight="1">
      <c r="A27" s="15" t="n"/>
      <c r="B27" s="10" t="n"/>
      <c r="C27" s="19" t="n"/>
      <c r="D27" s="19" t="n"/>
      <c r="E27" s="23">
        <f>IF(OR(C27="",D27=""),"",D27-C27)</f>
        <v/>
      </c>
      <c r="F27" s="15" t="n"/>
      <c r="G27" s="10" t="n"/>
      <c r="H27" s="10" t="n"/>
    </row>
    <row r="29" ht="20" customHeight="1">
      <c r="A29" s="3" t="inlineStr">
        <is>
          <t>本スケジュールの前提条件（崩れた場合は再計画が必要です）</t>
        </is>
      </c>
      <c r="B29" s="4" t="n"/>
      <c r="C29" s="4" t="n"/>
      <c r="D29" s="4" t="n"/>
      <c r="E29" s="4" t="n"/>
      <c r="F29" s="4" t="n"/>
      <c r="G29" s="4" t="n"/>
      <c r="H29" s="4" t="n"/>
    </row>
    <row r="30" ht="22" customHeight="1">
      <c r="A30" s="15" t="inlineStr">
        <is>
          <t>・</t>
        </is>
      </c>
      <c r="B30" s="10" t="inlineStr">
        <is>
          <t>例）7月1日までに増員2名が着任できること</t>
        </is>
      </c>
      <c r="C30" s="10" t="n"/>
      <c r="D30" s="10" t="n"/>
      <c r="E30" s="10" t="n"/>
      <c r="F30" s="10" t="n"/>
      <c r="G30" s="10" t="n"/>
      <c r="H30" s="10" t="n"/>
    </row>
    <row r="31" ht="22" customHeight="1">
      <c r="A31" s="15" t="inlineStr">
        <is>
          <t>・</t>
        </is>
      </c>
      <c r="B31" s="10" t="inlineStr">
        <is>
          <t>例）〇月〇日までにスコープ分割についてご承認をいただけること</t>
        </is>
      </c>
      <c r="C31" s="10" t="n"/>
      <c r="D31" s="10" t="n"/>
      <c r="E31" s="10" t="n"/>
      <c r="F31" s="10" t="n"/>
      <c r="G31" s="10" t="n"/>
      <c r="H31" s="10" t="n"/>
    </row>
    <row r="32" ht="22" customHeight="1">
      <c r="A32" s="15" t="inlineStr">
        <is>
          <t>・</t>
        </is>
      </c>
      <c r="B32" s="10" t="inlineStr">
        <is>
          <t>例）仕様に関するご質問への回答を、原則2営業日以内にいただけること</t>
        </is>
      </c>
      <c r="C32" s="10" t="n"/>
      <c r="D32" s="10" t="n"/>
      <c r="E32" s="10" t="n"/>
      <c r="F32" s="10" t="n"/>
      <c r="G32" s="10" t="n"/>
      <c r="H32" s="10" t="n"/>
    </row>
    <row r="33" ht="22" customHeight="1">
      <c r="A33" s="15" t="inlineStr">
        <is>
          <t>・</t>
        </is>
      </c>
      <c r="B33" s="10" t="inlineStr">
        <is>
          <t>例）受入テスト環境を〇月〇日までにご準備いただけること</t>
        </is>
      </c>
      <c r="C33" s="10" t="n"/>
      <c r="D33" s="10" t="n"/>
      <c r="E33" s="10" t="n"/>
      <c r="F33" s="10" t="n"/>
      <c r="G33" s="10" t="n"/>
      <c r="H33" s="10" t="n"/>
    </row>
    <row r="34" ht="22" customHeight="1">
      <c r="A34" s="15" t="inlineStr">
        <is>
          <t>・</t>
        </is>
      </c>
      <c r="B34" s="10" t="inlineStr"/>
      <c r="C34" s="10" t="n"/>
      <c r="D34" s="10" t="n"/>
      <c r="E34" s="10" t="n"/>
      <c r="F34" s="10" t="n"/>
      <c r="G34" s="10" t="n"/>
      <c r="H34" s="10" t="n"/>
    </row>
  </sheetData>
  <mergeCells count="10">
    <mergeCell ref="A4:H4"/>
    <mergeCell ref="B32:H32"/>
    <mergeCell ref="A29:H29"/>
    <mergeCell ref="A2:H2"/>
    <mergeCell ref="B30:H30"/>
    <mergeCell ref="B33:H33"/>
    <mergeCell ref="A1:H1"/>
    <mergeCell ref="B34:H34"/>
    <mergeCell ref="E5:H5"/>
    <mergeCell ref="B31:H31"/>
  </mergeCells>
  <dataValidations count="1">
    <dataValidation sqref="F8:F27" showDropDown="0" showInputMessage="0" showErrorMessage="0" allowBlank="1" type="list">
      <formula1>"変更なし,変更,前倒し,調整中"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2" customWidth="1" min="4" max="4"/>
    <col width="10" customWidth="1" min="5" max="5"/>
    <col width="34" customWidth="1" min="6" max="6"/>
    <col width="14" customWidth="1" min="7" max="7"/>
    <col width="14" customWidth="1" min="8" max="8"/>
    <col width="12" customWidth="1" min="9" max="9"/>
  </cols>
  <sheetData>
    <row r="1" ht="26" customHeight="1">
      <c r="A1" s="1" t="inlineStr">
        <is>
          <t>遅延による影響評価とリカバリ計画のリスク</t>
        </is>
      </c>
    </row>
    <row r="2" ht="16" customHeight="1">
      <c r="A2" s="2" t="inlineStr">
        <is>
          <t>上段＝遅延そのものの影響、下段＝リカバリ計画を実行する際に新たに生じるリスクです。リスクスコアは 発生確率×影響度 で自動計算されます。</t>
        </is>
      </c>
    </row>
    <row r="4" ht="20" customHeight="1">
      <c r="A4" s="3" t="inlineStr">
        <is>
          <t>1. 遅延による影響評価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22" customHeight="1">
      <c r="A5" s="5" t="inlineStr">
        <is>
          <t>区分</t>
        </is>
      </c>
      <c r="B5" s="5" t="inlineStr">
        <is>
          <t>影響の内容</t>
        </is>
      </c>
      <c r="C5" s="7" t="n"/>
      <c r="D5" s="5" t="inlineStr">
        <is>
          <t>定量的な影響</t>
        </is>
      </c>
      <c r="E5" s="7" t="n"/>
      <c r="F5" s="5" t="inlineStr">
        <is>
          <t>対応方針</t>
        </is>
      </c>
      <c r="G5" s="6" t="n"/>
      <c r="H5" s="6" t="n"/>
      <c r="I5" s="7" t="n"/>
    </row>
    <row r="6" ht="32" customHeight="1">
      <c r="A6" s="17" t="inlineStr">
        <is>
          <t>納期</t>
        </is>
      </c>
      <c r="B6" s="13" t="inlineStr">
        <is>
          <t>例）受入テスト開始が10営業日後ろ倒しとなる。</t>
        </is>
      </c>
      <c r="C6" s="13" t="n"/>
      <c r="D6" s="13" t="inlineStr">
        <is>
          <t>例）納品：6/30 → 7/14（10営業日）</t>
        </is>
      </c>
      <c r="E6" s="13" t="n"/>
      <c r="F6" s="13" t="inlineStr">
        <is>
          <t>例）増員と並行実施により7/7まで短縮。</t>
        </is>
      </c>
      <c r="G6" s="13" t="n"/>
      <c r="H6" s="13" t="n"/>
      <c r="I6" s="13" t="n"/>
    </row>
    <row r="7" ht="32" customHeight="1">
      <c r="A7" s="17" t="inlineStr">
        <is>
          <t>コスト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32" customHeight="1">
      <c r="A8" s="17" t="inlineStr">
        <is>
          <t>品質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9" ht="32" customHeight="1">
      <c r="A9" s="17" t="inlineStr">
        <is>
          <t>体制・要員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32" customHeight="1">
      <c r="A10" s="17" t="inlineStr">
        <is>
          <t>お客様業務・後続案件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32" customHeight="1">
      <c r="A11" s="17" t="inlineStr">
        <is>
          <t>契約・支払条件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3" ht="20" customHeight="1">
      <c r="A13" s="3" t="inlineStr">
        <is>
          <t>2. リカバリ計画のリスク一覧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32" customHeight="1">
      <c r="A14" s="5" t="inlineStr">
        <is>
          <t>No</t>
        </is>
      </c>
      <c r="B14" s="5" t="inlineStr">
        <is>
          <t>リスクの内容</t>
        </is>
      </c>
      <c r="C14" s="5" t="inlineStr">
        <is>
          <t>発生確率</t>
        </is>
      </c>
      <c r="D14" s="5" t="inlineStr">
        <is>
          <t>影響度</t>
        </is>
      </c>
      <c r="E14" s="5" t="inlineStr">
        <is>
          <t>スコア</t>
        </is>
      </c>
      <c r="F14" s="5" t="inlineStr">
        <is>
          <t>対応策（予防／発生時）</t>
        </is>
      </c>
      <c r="G14" s="5" t="inlineStr">
        <is>
          <t>対応期限</t>
        </is>
      </c>
      <c r="H14" s="5" t="inlineStr">
        <is>
          <t>担当</t>
        </is>
      </c>
      <c r="I14" s="5" t="inlineStr">
        <is>
          <t>状態</t>
        </is>
      </c>
      <c r="K14" s="36" t="inlineStr">
        <is>
          <t>換算</t>
        </is>
      </c>
      <c r="L14" s="36" t="inlineStr">
        <is>
          <t>値</t>
        </is>
      </c>
    </row>
    <row r="15" ht="32" customHeight="1">
      <c r="A15" s="27" t="n">
        <v>1</v>
      </c>
      <c r="B15" s="13" t="inlineStr">
        <is>
          <t>増員した要員の立ち上がりが遅れ、期待した短縮日数を確保できない。</t>
        </is>
      </c>
      <c r="C15" s="27" t="inlineStr">
        <is>
          <t>中</t>
        </is>
      </c>
      <c r="D15" s="27" t="inlineStr">
        <is>
          <t>高</t>
        </is>
      </c>
      <c r="E15" s="27">
        <f>IF(OR(C15="",D15=""),"",IFERROR(INDEX($L$15:$L$17,MATCH(C15,$K$15:$K$17,0))*INDEX($L$15:$L$17,MATCH(D15,$K$15:$K$17,0)),""))</f>
        <v/>
      </c>
      <c r="F15" s="13" t="inlineStr">
        <is>
          <t>予防：着任前に設計書レビュー会を実施。発生時：〇〇機能を第2次リリースへ切り出す。</t>
        </is>
      </c>
      <c r="G15" s="28" t="n">
        <v>46213</v>
      </c>
      <c r="H15" s="13" t="inlineStr">
        <is>
          <t>PM 〇〇</t>
        </is>
      </c>
      <c r="I15" s="27" t="inlineStr">
        <is>
          <t>対応中</t>
        </is>
      </c>
      <c r="K15" s="37" t="inlineStr">
        <is>
          <t>低</t>
        </is>
      </c>
      <c r="L15" s="37" t="n">
        <v>1</v>
      </c>
    </row>
    <row r="16" ht="32" customHeight="1">
      <c r="A16" s="15" t="n"/>
      <c r="B16" s="10" t="n"/>
      <c r="C16" s="15" t="n"/>
      <c r="D16" s="15" t="n"/>
      <c r="E16" s="38">
        <f>IF(OR(C16="",D16=""),"",IFERROR(INDEX($L$15:$L$17,MATCH(C16,$K$15:$K$17,0))*INDEX($L$15:$L$17,MATCH(D16,$K$15:$K$17,0)),""))</f>
        <v/>
      </c>
      <c r="F16" s="10" t="n"/>
      <c r="G16" s="19" t="n"/>
      <c r="H16" s="15" t="n"/>
      <c r="I16" s="15" t="n"/>
      <c r="K16" s="37" t="inlineStr">
        <is>
          <t>中</t>
        </is>
      </c>
      <c r="L16" s="37" t="n">
        <v>2</v>
      </c>
    </row>
    <row r="17" ht="32" customHeight="1">
      <c r="A17" s="15" t="n"/>
      <c r="B17" s="10" t="n"/>
      <c r="C17" s="15" t="n"/>
      <c r="D17" s="15" t="n"/>
      <c r="E17" s="38">
        <f>IF(OR(C17="",D17=""),"",IFERROR(INDEX($L$15:$L$17,MATCH(C17,$K$15:$K$17,0))*INDEX($L$15:$L$17,MATCH(D17,$K$15:$K$17,0)),""))</f>
        <v/>
      </c>
      <c r="F17" s="10" t="n"/>
      <c r="G17" s="19" t="n"/>
      <c r="H17" s="15" t="n"/>
      <c r="I17" s="15" t="n"/>
      <c r="K17" s="37" t="inlineStr">
        <is>
          <t>高</t>
        </is>
      </c>
      <c r="L17" s="37" t="n">
        <v>3</v>
      </c>
    </row>
    <row r="18" ht="32" customHeight="1">
      <c r="A18" s="15" t="n"/>
      <c r="B18" s="10" t="n"/>
      <c r="C18" s="15" t="n"/>
      <c r="D18" s="15" t="n"/>
      <c r="E18" s="38">
        <f>IF(OR(C18="",D18=""),"",IFERROR(INDEX($L$15:$L$17,MATCH(C18,$K$15:$K$17,0))*INDEX($L$15:$L$17,MATCH(D18,$K$15:$K$17,0)),""))</f>
        <v/>
      </c>
      <c r="F18" s="10" t="n"/>
      <c r="G18" s="19" t="n"/>
      <c r="H18" s="15" t="n"/>
      <c r="I18" s="15" t="n"/>
      <c r="K18" s="2" t="inlineStr">
        <is>
          <t>※スコア＝確率×影響（1〜9）</t>
        </is>
      </c>
    </row>
    <row r="19" ht="32" customHeight="1">
      <c r="A19" s="15" t="n"/>
      <c r="B19" s="10" t="n"/>
      <c r="C19" s="15" t="n"/>
      <c r="D19" s="15" t="n"/>
      <c r="E19" s="38">
        <f>IF(OR(C19="",D19=""),"",IFERROR(INDEX($L$15:$L$17,MATCH(C19,$K$15:$K$17,0))*INDEX($L$15:$L$17,MATCH(D19,$K$15:$K$17,0)),""))</f>
        <v/>
      </c>
      <c r="F19" s="10" t="n"/>
      <c r="G19" s="19" t="n"/>
      <c r="H19" s="15" t="n"/>
      <c r="I19" s="15" t="n"/>
    </row>
    <row r="20" ht="32" customHeight="1">
      <c r="A20" s="15" t="n"/>
      <c r="B20" s="10" t="n"/>
      <c r="C20" s="15" t="n"/>
      <c r="D20" s="15" t="n"/>
      <c r="E20" s="38">
        <f>IF(OR(C20="",D20=""),"",IFERROR(INDEX($L$15:$L$17,MATCH(C20,$K$15:$K$17,0))*INDEX($L$15:$L$17,MATCH(D20,$K$15:$K$17,0)),""))</f>
        <v/>
      </c>
      <c r="F20" s="10" t="n"/>
      <c r="G20" s="19" t="n"/>
      <c r="H20" s="15" t="n"/>
      <c r="I20" s="15" t="n"/>
    </row>
    <row r="21" ht="32" customHeight="1">
      <c r="A21" s="15" t="n"/>
      <c r="B21" s="10" t="n"/>
      <c r="C21" s="15" t="n"/>
      <c r="D21" s="15" t="n"/>
      <c r="E21" s="38">
        <f>IF(OR(C21="",D21=""),"",IFERROR(INDEX($L$15:$L$17,MATCH(C21,$K$15:$K$17,0))*INDEX($L$15:$L$17,MATCH(D21,$K$15:$K$17,0)),""))</f>
        <v/>
      </c>
      <c r="F21" s="10" t="n"/>
      <c r="G21" s="19" t="n"/>
      <c r="H21" s="15" t="n"/>
      <c r="I21" s="15" t="n"/>
    </row>
    <row r="22" ht="32" customHeight="1">
      <c r="A22" s="15" t="n"/>
      <c r="B22" s="10" t="n"/>
      <c r="C22" s="15" t="n"/>
      <c r="D22" s="15" t="n"/>
      <c r="E22" s="38">
        <f>IF(OR(C22="",D22=""),"",IFERROR(INDEX($L$15:$L$17,MATCH(C22,$K$15:$K$17,0))*INDEX($L$15:$L$17,MATCH(D22,$K$15:$K$17,0)),""))</f>
        <v/>
      </c>
      <c r="F22" s="10" t="n"/>
      <c r="G22" s="19" t="n"/>
      <c r="H22" s="15" t="n"/>
      <c r="I22" s="15" t="n"/>
    </row>
    <row r="23" ht="32" customHeight="1">
      <c r="A23" s="15" t="n"/>
      <c r="B23" s="10" t="n"/>
      <c r="C23" s="15" t="n"/>
      <c r="D23" s="15" t="n"/>
      <c r="E23" s="38">
        <f>IF(OR(C23="",D23=""),"",IFERROR(INDEX($L$15:$L$17,MATCH(C23,$K$15:$K$17,0))*INDEX($L$15:$L$17,MATCH(D23,$K$15:$K$17,0)),""))</f>
        <v/>
      </c>
      <c r="F23" s="10" t="n"/>
      <c r="G23" s="19" t="n"/>
      <c r="H23" s="15" t="n"/>
      <c r="I23" s="15" t="n"/>
    </row>
    <row r="24" ht="32" customHeight="1">
      <c r="A24" s="15" t="n"/>
      <c r="B24" s="10" t="n"/>
      <c r="C24" s="15" t="n"/>
      <c r="D24" s="15" t="n"/>
      <c r="E24" s="38">
        <f>IF(OR(C24="",D24=""),"",IFERROR(INDEX($L$15:$L$17,MATCH(C24,$K$15:$K$17,0))*INDEX($L$15:$L$17,MATCH(D24,$K$15:$K$17,0)),""))</f>
        <v/>
      </c>
      <c r="F24" s="10" t="n"/>
      <c r="G24" s="19" t="n"/>
      <c r="H24" s="15" t="n"/>
      <c r="I24" s="15" t="n"/>
    </row>
    <row r="25" ht="32" customHeight="1">
      <c r="A25" s="15" t="n"/>
      <c r="B25" s="10" t="n"/>
      <c r="C25" s="15" t="n"/>
      <c r="D25" s="15" t="n"/>
      <c r="E25" s="38">
        <f>IF(OR(C25="",D25=""),"",IFERROR(INDEX($L$15:$L$17,MATCH(C25,$K$15:$K$17,0))*INDEX($L$15:$L$17,MATCH(D25,$K$15:$K$17,0)),""))</f>
        <v/>
      </c>
      <c r="F25" s="10" t="n"/>
      <c r="G25" s="19" t="n"/>
      <c r="H25" s="15" t="n"/>
      <c r="I25" s="15" t="n"/>
    </row>
    <row r="26" ht="32" customHeight="1">
      <c r="A26" s="15" t="n"/>
      <c r="B26" s="10" t="n"/>
      <c r="C26" s="15" t="n"/>
      <c r="D26" s="15" t="n"/>
      <c r="E26" s="38">
        <f>IF(OR(C26="",D26=""),"",IFERROR(INDEX($L$15:$L$17,MATCH(C26,$K$15:$K$17,0))*INDEX($L$15:$L$17,MATCH(D26,$K$15:$K$17,0)),""))</f>
        <v/>
      </c>
      <c r="F26" s="10" t="n"/>
      <c r="G26" s="19" t="n"/>
      <c r="H26" s="15" t="n"/>
      <c r="I26" s="15" t="n"/>
    </row>
    <row r="27" ht="32" customHeight="1">
      <c r="A27" s="15" t="n"/>
      <c r="B27" s="10" t="n"/>
      <c r="C27" s="15" t="n"/>
      <c r="D27" s="15" t="n"/>
      <c r="E27" s="38">
        <f>IF(OR(C27="",D27=""),"",IFERROR(INDEX($L$15:$L$17,MATCH(C27,$K$15:$K$17,0))*INDEX($L$15:$L$17,MATCH(D27,$K$15:$K$17,0)),""))</f>
        <v/>
      </c>
      <c r="F27" s="10" t="n"/>
      <c r="G27" s="19" t="n"/>
      <c r="H27" s="15" t="n"/>
      <c r="I27" s="15" t="n"/>
    </row>
    <row r="28" ht="32" customHeight="1">
      <c r="A28" s="15" t="n"/>
      <c r="B28" s="10" t="n"/>
      <c r="C28" s="15" t="n"/>
      <c r="D28" s="15" t="n"/>
      <c r="E28" s="38">
        <f>IF(OR(C28="",D28=""),"",IFERROR(INDEX($L$15:$L$17,MATCH(C28,$K$15:$K$17,0))*INDEX($L$15:$L$17,MATCH(D28,$K$15:$K$17,0)),""))</f>
        <v/>
      </c>
      <c r="F28" s="10" t="n"/>
      <c r="G28" s="19" t="n"/>
      <c r="H28" s="15" t="n"/>
      <c r="I28" s="15" t="n"/>
    </row>
    <row r="29" ht="32" customHeight="1">
      <c r="A29" s="15" t="n"/>
      <c r="B29" s="10" t="n"/>
      <c r="C29" s="15" t="n"/>
      <c r="D29" s="15" t="n"/>
      <c r="E29" s="38">
        <f>IF(OR(C29="",D29=""),"",IFERROR(INDEX($L$15:$L$17,MATCH(C29,$K$15:$K$17,0))*INDEX($L$15:$L$17,MATCH(D29,$K$15:$K$17,0)),""))</f>
        <v/>
      </c>
      <c r="F29" s="10" t="n"/>
      <c r="G29" s="19" t="n"/>
      <c r="H29" s="15" t="n"/>
      <c r="I29" s="15" t="n"/>
    </row>
    <row r="30" ht="32" customHeight="1">
      <c r="A30" s="15" t="n"/>
      <c r="B30" s="10" t="n"/>
      <c r="C30" s="15" t="n"/>
      <c r="D30" s="15" t="n"/>
      <c r="E30" s="38">
        <f>IF(OR(C30="",D30=""),"",IFERROR(INDEX($L$15:$L$17,MATCH(C30,$K$15:$K$17,0))*INDEX($L$15:$L$17,MATCH(D30,$K$15:$K$17,0)),""))</f>
        <v/>
      </c>
      <c r="F30" s="10" t="n"/>
      <c r="G30" s="19" t="n"/>
      <c r="H30" s="15" t="n"/>
      <c r="I30" s="15" t="n"/>
    </row>
  </sheetData>
  <mergeCells count="25">
    <mergeCell ref="D10:E10"/>
    <mergeCell ref="B7:C7"/>
    <mergeCell ref="F9:I9"/>
    <mergeCell ref="D6:E6"/>
    <mergeCell ref="A2:I2"/>
    <mergeCell ref="B11:C11"/>
    <mergeCell ref="D11:E11"/>
    <mergeCell ref="F11:I11"/>
    <mergeCell ref="B8:C8"/>
    <mergeCell ref="A4:I4"/>
    <mergeCell ref="F10:I10"/>
    <mergeCell ref="F6:I6"/>
    <mergeCell ref="D7:E7"/>
    <mergeCell ref="F7:I7"/>
    <mergeCell ref="A13:I13"/>
    <mergeCell ref="B10:C10"/>
    <mergeCell ref="B9:C9"/>
    <mergeCell ref="F5:I5"/>
    <mergeCell ref="D9:E9"/>
    <mergeCell ref="D8:E8"/>
    <mergeCell ref="B6:C6"/>
    <mergeCell ref="F8:I8"/>
    <mergeCell ref="B5:C5"/>
    <mergeCell ref="D5:E5"/>
    <mergeCell ref="A1:I1"/>
  </mergeCells>
  <dataValidations count="3">
    <dataValidation sqref="C15:C30" showDropDown="0" showInputMessage="0" showErrorMessage="0" allowBlank="1" type="list">
      <formula1>"低,中,高"</formula1>
    </dataValidation>
    <dataValidation sqref="D15:D30" showDropDown="0" showInputMessage="0" showErrorMessage="0" allowBlank="1" type="list">
      <formula1>"低,中,高"</formula1>
    </dataValidation>
    <dataValidation sqref="I15:I30" showDropDown="0" showInputMessage="0" showErrorMessage="0" allowBlank="1" type="list">
      <formula1>"未着手,対応中,完了,受容"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3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1" ht="26" customHeight="1">
      <c r="A1" s="1" t="inlineStr">
        <is>
          <t>アクション管理（誰が・何を・いつまでに）</t>
        </is>
      </c>
    </row>
    <row r="2" ht="16" customHeight="1">
      <c r="A2" s="2" t="inlineStr">
        <is>
          <t>リカバリ施策・再発防止策・お客様へのご依頼事項をすべてここに集約し、以後の進捗はこのシートで管理します。</t>
        </is>
      </c>
    </row>
    <row r="4" ht="24" customHeight="1">
      <c r="A4" s="17" t="inlineStr">
        <is>
          <t>全アクション</t>
        </is>
      </c>
      <c r="B4" s="24">
        <f>COUNTA(D8:D37)</f>
        <v/>
      </c>
      <c r="C4" s="17" t="inlineStr">
        <is>
          <t>完了</t>
        </is>
      </c>
      <c r="D4" s="24">
        <f>COUNTIF(G8:G37,"完了")</f>
        <v/>
      </c>
      <c r="E4" s="17" t="inlineStr">
        <is>
          <t>対応中</t>
        </is>
      </c>
      <c r="F4" s="24">
        <f>COUNTIF(G8:G37,"対応中")</f>
        <v/>
      </c>
      <c r="G4" s="17" t="inlineStr">
        <is>
          <t>期限超過</t>
        </is>
      </c>
      <c r="H4" s="24">
        <f>SUMPRODUCT((F8:F37&lt;&gt;"")*(G8:G37&lt;&gt;"完了")*(F8:F37&lt;TODAY()))</f>
        <v/>
      </c>
      <c r="I4" s="2" t="inlineStr">
        <is>
          <t>※期限超過は本日基準で自動判定されます。</t>
        </is>
      </c>
    </row>
    <row r="6" ht="32" customHeight="1">
      <c r="A6" s="5" t="inlineStr">
        <is>
          <t>No</t>
        </is>
      </c>
      <c r="B6" s="5" t="inlineStr">
        <is>
          <t>区分</t>
        </is>
      </c>
      <c r="C6" s="5" t="inlineStr">
        <is>
          <t>関連No</t>
        </is>
      </c>
      <c r="D6" s="5" t="inlineStr">
        <is>
          <t>アクション内容</t>
        </is>
      </c>
      <c r="E6" s="5" t="inlineStr">
        <is>
          <t>担当</t>
        </is>
      </c>
      <c r="F6" s="5" t="inlineStr">
        <is>
          <t>期限</t>
        </is>
      </c>
      <c r="G6" s="5" t="inlineStr">
        <is>
          <t>状態</t>
        </is>
      </c>
      <c r="H6" s="5" t="inlineStr">
        <is>
          <t>完了日</t>
        </is>
      </c>
      <c r="I6" s="5" t="inlineStr">
        <is>
          <t>期限差異</t>
        </is>
      </c>
      <c r="J6" s="5" t="inlineStr">
        <is>
          <t>備考</t>
        </is>
      </c>
    </row>
    <row r="7" ht="28" customHeight="1">
      <c r="A7" s="27" t="n">
        <v>1</v>
      </c>
      <c r="B7" s="27" t="inlineStr">
        <is>
          <t>リカバリ施策</t>
        </is>
      </c>
      <c r="C7" s="27" t="inlineStr">
        <is>
          <t>04-1</t>
        </is>
      </c>
      <c r="D7" s="13" t="inlineStr">
        <is>
          <t>結合テスト要員2名の確保と着任手続きを完了させる。</t>
        </is>
      </c>
      <c r="E7" s="13" t="inlineStr">
        <is>
          <t>自社／〇〇部長</t>
        </is>
      </c>
      <c r="F7" s="28" t="n">
        <v>46198</v>
      </c>
      <c r="G7" s="27" t="inlineStr">
        <is>
          <t>対応中</t>
        </is>
      </c>
      <c r="H7" s="28" t="n"/>
      <c r="I7" s="29">
        <f>IF(OR(F7="",H7=""),"",H7-F7)</f>
        <v/>
      </c>
      <c r="J7" s="13" t="inlineStr">
        <is>
          <t>6/20時点で1名確保済</t>
        </is>
      </c>
    </row>
    <row r="8" ht="28" customHeight="1">
      <c r="A8" s="15" t="n"/>
      <c r="B8" s="15" t="n"/>
      <c r="C8" s="15" t="n"/>
      <c r="D8" s="10" t="n"/>
      <c r="E8" s="15" t="n"/>
      <c r="F8" s="19" t="n"/>
      <c r="G8" s="15" t="n"/>
      <c r="H8" s="19" t="n"/>
      <c r="I8" s="23">
        <f>IF(OR(F8="",H8=""),"",H8-F8)</f>
        <v/>
      </c>
      <c r="J8" s="10" t="n"/>
    </row>
    <row r="9" ht="28" customHeight="1">
      <c r="A9" s="15" t="n"/>
      <c r="B9" s="15" t="n"/>
      <c r="C9" s="15" t="n"/>
      <c r="D9" s="10" t="n"/>
      <c r="E9" s="15" t="n"/>
      <c r="F9" s="19" t="n"/>
      <c r="G9" s="15" t="n"/>
      <c r="H9" s="19" t="n"/>
      <c r="I9" s="23">
        <f>IF(OR(F9="",H9=""),"",H9-F9)</f>
        <v/>
      </c>
      <c r="J9" s="10" t="n"/>
    </row>
    <row r="10" ht="28" customHeight="1">
      <c r="A10" s="15" t="n"/>
      <c r="B10" s="15" t="n"/>
      <c r="C10" s="15" t="n"/>
      <c r="D10" s="10" t="n"/>
      <c r="E10" s="15" t="n"/>
      <c r="F10" s="19" t="n"/>
      <c r="G10" s="15" t="n"/>
      <c r="H10" s="19" t="n"/>
      <c r="I10" s="23">
        <f>IF(OR(F10="",H10=""),"",H10-F10)</f>
        <v/>
      </c>
      <c r="J10" s="10" t="n"/>
    </row>
    <row r="11" ht="28" customHeight="1">
      <c r="A11" s="15" t="n"/>
      <c r="B11" s="15" t="n"/>
      <c r="C11" s="15" t="n"/>
      <c r="D11" s="10" t="n"/>
      <c r="E11" s="15" t="n"/>
      <c r="F11" s="19" t="n"/>
      <c r="G11" s="15" t="n"/>
      <c r="H11" s="19" t="n"/>
      <c r="I11" s="23">
        <f>IF(OR(F11="",H11=""),"",H11-F11)</f>
        <v/>
      </c>
      <c r="J11" s="10" t="n"/>
    </row>
    <row r="12" ht="28" customHeight="1">
      <c r="A12" s="15" t="n"/>
      <c r="B12" s="15" t="n"/>
      <c r="C12" s="15" t="n"/>
      <c r="D12" s="10" t="n"/>
      <c r="E12" s="15" t="n"/>
      <c r="F12" s="19" t="n"/>
      <c r="G12" s="15" t="n"/>
      <c r="H12" s="19" t="n"/>
      <c r="I12" s="23">
        <f>IF(OR(F12="",H12=""),"",H12-F12)</f>
        <v/>
      </c>
      <c r="J12" s="10" t="n"/>
    </row>
    <row r="13" ht="28" customHeight="1">
      <c r="A13" s="15" t="n"/>
      <c r="B13" s="15" t="n"/>
      <c r="C13" s="15" t="n"/>
      <c r="D13" s="10" t="n"/>
      <c r="E13" s="15" t="n"/>
      <c r="F13" s="19" t="n"/>
      <c r="G13" s="15" t="n"/>
      <c r="H13" s="19" t="n"/>
      <c r="I13" s="23">
        <f>IF(OR(F13="",H13=""),"",H13-F13)</f>
        <v/>
      </c>
      <c r="J13" s="10" t="n"/>
    </row>
    <row r="14" ht="28" customHeight="1">
      <c r="A14" s="15" t="n"/>
      <c r="B14" s="15" t="n"/>
      <c r="C14" s="15" t="n"/>
      <c r="D14" s="10" t="n"/>
      <c r="E14" s="15" t="n"/>
      <c r="F14" s="19" t="n"/>
      <c r="G14" s="15" t="n"/>
      <c r="H14" s="19" t="n"/>
      <c r="I14" s="23">
        <f>IF(OR(F14="",H14=""),"",H14-F14)</f>
        <v/>
      </c>
      <c r="J14" s="10" t="n"/>
    </row>
    <row r="15" ht="28" customHeight="1">
      <c r="A15" s="15" t="n"/>
      <c r="B15" s="15" t="n"/>
      <c r="C15" s="15" t="n"/>
      <c r="D15" s="10" t="n"/>
      <c r="E15" s="15" t="n"/>
      <c r="F15" s="19" t="n"/>
      <c r="G15" s="15" t="n"/>
      <c r="H15" s="19" t="n"/>
      <c r="I15" s="23">
        <f>IF(OR(F15="",H15=""),"",H15-F15)</f>
        <v/>
      </c>
      <c r="J15" s="10" t="n"/>
    </row>
    <row r="16" ht="28" customHeight="1">
      <c r="A16" s="15" t="n"/>
      <c r="B16" s="15" t="n"/>
      <c r="C16" s="15" t="n"/>
      <c r="D16" s="10" t="n"/>
      <c r="E16" s="15" t="n"/>
      <c r="F16" s="19" t="n"/>
      <c r="G16" s="15" t="n"/>
      <c r="H16" s="19" t="n"/>
      <c r="I16" s="23">
        <f>IF(OR(F16="",H16=""),"",H16-F16)</f>
        <v/>
      </c>
      <c r="J16" s="10" t="n"/>
    </row>
    <row r="17" ht="28" customHeight="1">
      <c r="A17" s="15" t="n"/>
      <c r="B17" s="15" t="n"/>
      <c r="C17" s="15" t="n"/>
      <c r="D17" s="10" t="n"/>
      <c r="E17" s="15" t="n"/>
      <c r="F17" s="19" t="n"/>
      <c r="G17" s="15" t="n"/>
      <c r="H17" s="19" t="n"/>
      <c r="I17" s="23">
        <f>IF(OR(F17="",H17=""),"",H17-F17)</f>
        <v/>
      </c>
      <c r="J17" s="10" t="n"/>
    </row>
    <row r="18" ht="28" customHeight="1">
      <c r="A18" s="15" t="n"/>
      <c r="B18" s="15" t="n"/>
      <c r="C18" s="15" t="n"/>
      <c r="D18" s="10" t="n"/>
      <c r="E18" s="15" t="n"/>
      <c r="F18" s="19" t="n"/>
      <c r="G18" s="15" t="n"/>
      <c r="H18" s="19" t="n"/>
      <c r="I18" s="23">
        <f>IF(OR(F18="",H18=""),"",H18-F18)</f>
        <v/>
      </c>
      <c r="J18" s="10" t="n"/>
    </row>
    <row r="19" ht="28" customHeight="1">
      <c r="A19" s="15" t="n"/>
      <c r="B19" s="15" t="n"/>
      <c r="C19" s="15" t="n"/>
      <c r="D19" s="10" t="n"/>
      <c r="E19" s="15" t="n"/>
      <c r="F19" s="19" t="n"/>
      <c r="G19" s="15" t="n"/>
      <c r="H19" s="19" t="n"/>
      <c r="I19" s="23">
        <f>IF(OR(F19="",H19=""),"",H19-F19)</f>
        <v/>
      </c>
      <c r="J19" s="10" t="n"/>
    </row>
    <row r="20" ht="28" customHeight="1">
      <c r="A20" s="15" t="n"/>
      <c r="B20" s="15" t="n"/>
      <c r="C20" s="15" t="n"/>
      <c r="D20" s="10" t="n"/>
      <c r="E20" s="15" t="n"/>
      <c r="F20" s="19" t="n"/>
      <c r="G20" s="15" t="n"/>
      <c r="H20" s="19" t="n"/>
      <c r="I20" s="23">
        <f>IF(OR(F20="",H20=""),"",H20-F20)</f>
        <v/>
      </c>
      <c r="J20" s="10" t="n"/>
    </row>
    <row r="21" ht="28" customHeight="1">
      <c r="A21" s="15" t="n"/>
      <c r="B21" s="15" t="n"/>
      <c r="C21" s="15" t="n"/>
      <c r="D21" s="10" t="n"/>
      <c r="E21" s="15" t="n"/>
      <c r="F21" s="19" t="n"/>
      <c r="G21" s="15" t="n"/>
      <c r="H21" s="19" t="n"/>
      <c r="I21" s="23">
        <f>IF(OR(F21="",H21=""),"",H21-F21)</f>
        <v/>
      </c>
      <c r="J21" s="10" t="n"/>
    </row>
    <row r="22" ht="28" customHeight="1">
      <c r="A22" s="15" t="n"/>
      <c r="B22" s="15" t="n"/>
      <c r="C22" s="15" t="n"/>
      <c r="D22" s="10" t="n"/>
      <c r="E22" s="15" t="n"/>
      <c r="F22" s="19" t="n"/>
      <c r="G22" s="15" t="n"/>
      <c r="H22" s="19" t="n"/>
      <c r="I22" s="23">
        <f>IF(OR(F22="",H22=""),"",H22-F22)</f>
        <v/>
      </c>
      <c r="J22" s="10" t="n"/>
    </row>
    <row r="23" ht="28" customHeight="1">
      <c r="A23" s="15" t="n"/>
      <c r="B23" s="15" t="n"/>
      <c r="C23" s="15" t="n"/>
      <c r="D23" s="10" t="n"/>
      <c r="E23" s="15" t="n"/>
      <c r="F23" s="19" t="n"/>
      <c r="G23" s="15" t="n"/>
      <c r="H23" s="19" t="n"/>
      <c r="I23" s="23">
        <f>IF(OR(F23="",H23=""),"",H23-F23)</f>
        <v/>
      </c>
      <c r="J23" s="10" t="n"/>
    </row>
    <row r="24" ht="28" customHeight="1">
      <c r="A24" s="15" t="n"/>
      <c r="B24" s="15" t="n"/>
      <c r="C24" s="15" t="n"/>
      <c r="D24" s="10" t="n"/>
      <c r="E24" s="15" t="n"/>
      <c r="F24" s="19" t="n"/>
      <c r="G24" s="15" t="n"/>
      <c r="H24" s="19" t="n"/>
      <c r="I24" s="23">
        <f>IF(OR(F24="",H24=""),"",H24-F24)</f>
        <v/>
      </c>
      <c r="J24" s="10" t="n"/>
    </row>
    <row r="25" ht="28" customHeight="1">
      <c r="A25" s="15" t="n"/>
      <c r="B25" s="15" t="n"/>
      <c r="C25" s="15" t="n"/>
      <c r="D25" s="10" t="n"/>
      <c r="E25" s="15" t="n"/>
      <c r="F25" s="19" t="n"/>
      <c r="G25" s="15" t="n"/>
      <c r="H25" s="19" t="n"/>
      <c r="I25" s="23">
        <f>IF(OR(F25="",H25=""),"",H25-F25)</f>
        <v/>
      </c>
      <c r="J25" s="10" t="n"/>
    </row>
    <row r="26" ht="28" customHeight="1">
      <c r="A26" s="15" t="n"/>
      <c r="B26" s="15" t="n"/>
      <c r="C26" s="15" t="n"/>
      <c r="D26" s="10" t="n"/>
      <c r="E26" s="15" t="n"/>
      <c r="F26" s="19" t="n"/>
      <c r="G26" s="15" t="n"/>
      <c r="H26" s="19" t="n"/>
      <c r="I26" s="23">
        <f>IF(OR(F26="",H26=""),"",H26-F26)</f>
        <v/>
      </c>
      <c r="J26" s="10" t="n"/>
    </row>
    <row r="27" ht="28" customHeight="1">
      <c r="A27" s="15" t="n"/>
      <c r="B27" s="15" t="n"/>
      <c r="C27" s="15" t="n"/>
      <c r="D27" s="10" t="n"/>
      <c r="E27" s="15" t="n"/>
      <c r="F27" s="19" t="n"/>
      <c r="G27" s="15" t="n"/>
      <c r="H27" s="19" t="n"/>
      <c r="I27" s="23">
        <f>IF(OR(F27="",H27=""),"",H27-F27)</f>
        <v/>
      </c>
      <c r="J27" s="10" t="n"/>
    </row>
    <row r="28" ht="28" customHeight="1">
      <c r="A28" s="15" t="n"/>
      <c r="B28" s="15" t="n"/>
      <c r="C28" s="15" t="n"/>
      <c r="D28" s="10" t="n"/>
      <c r="E28" s="15" t="n"/>
      <c r="F28" s="19" t="n"/>
      <c r="G28" s="15" t="n"/>
      <c r="H28" s="19" t="n"/>
      <c r="I28" s="23">
        <f>IF(OR(F28="",H28=""),"",H28-F28)</f>
        <v/>
      </c>
      <c r="J28" s="10" t="n"/>
    </row>
    <row r="29" ht="28" customHeight="1">
      <c r="A29" s="15" t="n"/>
      <c r="B29" s="15" t="n"/>
      <c r="C29" s="15" t="n"/>
      <c r="D29" s="10" t="n"/>
      <c r="E29" s="15" t="n"/>
      <c r="F29" s="19" t="n"/>
      <c r="G29" s="15" t="n"/>
      <c r="H29" s="19" t="n"/>
      <c r="I29" s="23">
        <f>IF(OR(F29="",H29=""),"",H29-F29)</f>
        <v/>
      </c>
      <c r="J29" s="10" t="n"/>
    </row>
    <row r="30" ht="28" customHeight="1">
      <c r="A30" s="15" t="n"/>
      <c r="B30" s="15" t="n"/>
      <c r="C30" s="15" t="n"/>
      <c r="D30" s="10" t="n"/>
      <c r="E30" s="15" t="n"/>
      <c r="F30" s="19" t="n"/>
      <c r="G30" s="15" t="n"/>
      <c r="H30" s="19" t="n"/>
      <c r="I30" s="23">
        <f>IF(OR(F30="",H30=""),"",H30-F30)</f>
        <v/>
      </c>
      <c r="J30" s="10" t="n"/>
    </row>
    <row r="31" ht="28" customHeight="1">
      <c r="A31" s="15" t="n"/>
      <c r="B31" s="15" t="n"/>
      <c r="C31" s="15" t="n"/>
      <c r="D31" s="10" t="n"/>
      <c r="E31" s="15" t="n"/>
      <c r="F31" s="19" t="n"/>
      <c r="G31" s="15" t="n"/>
      <c r="H31" s="19" t="n"/>
      <c r="I31" s="23">
        <f>IF(OR(F31="",H31=""),"",H31-F31)</f>
        <v/>
      </c>
      <c r="J31" s="10" t="n"/>
    </row>
    <row r="32" ht="28" customHeight="1">
      <c r="A32" s="15" t="n"/>
      <c r="B32" s="15" t="n"/>
      <c r="C32" s="15" t="n"/>
      <c r="D32" s="10" t="n"/>
      <c r="E32" s="15" t="n"/>
      <c r="F32" s="19" t="n"/>
      <c r="G32" s="15" t="n"/>
      <c r="H32" s="19" t="n"/>
      <c r="I32" s="23">
        <f>IF(OR(F32="",H32=""),"",H32-F32)</f>
        <v/>
      </c>
      <c r="J32" s="10" t="n"/>
    </row>
    <row r="33" ht="28" customHeight="1">
      <c r="A33" s="15" t="n"/>
      <c r="B33" s="15" t="n"/>
      <c r="C33" s="15" t="n"/>
      <c r="D33" s="10" t="n"/>
      <c r="E33" s="15" t="n"/>
      <c r="F33" s="19" t="n"/>
      <c r="G33" s="15" t="n"/>
      <c r="H33" s="19" t="n"/>
      <c r="I33" s="23">
        <f>IF(OR(F33="",H33=""),"",H33-F33)</f>
        <v/>
      </c>
      <c r="J33" s="10" t="n"/>
    </row>
    <row r="34" ht="28" customHeight="1">
      <c r="A34" s="15" t="n"/>
      <c r="B34" s="15" t="n"/>
      <c r="C34" s="15" t="n"/>
      <c r="D34" s="10" t="n"/>
      <c r="E34" s="15" t="n"/>
      <c r="F34" s="19" t="n"/>
      <c r="G34" s="15" t="n"/>
      <c r="H34" s="19" t="n"/>
      <c r="I34" s="23">
        <f>IF(OR(F34="",H34=""),"",H34-F34)</f>
        <v/>
      </c>
      <c r="J34" s="10" t="n"/>
    </row>
    <row r="35" ht="28" customHeight="1">
      <c r="A35" s="15" t="n"/>
      <c r="B35" s="15" t="n"/>
      <c r="C35" s="15" t="n"/>
      <c r="D35" s="10" t="n"/>
      <c r="E35" s="15" t="n"/>
      <c r="F35" s="19" t="n"/>
      <c r="G35" s="15" t="n"/>
      <c r="H35" s="19" t="n"/>
      <c r="I35" s="23">
        <f>IF(OR(F35="",H35=""),"",H35-F35)</f>
        <v/>
      </c>
      <c r="J35" s="10" t="n"/>
    </row>
    <row r="36" ht="28" customHeight="1">
      <c r="A36" s="15" t="n"/>
      <c r="B36" s="15" t="n"/>
      <c r="C36" s="15" t="n"/>
      <c r="D36" s="10" t="n"/>
      <c r="E36" s="15" t="n"/>
      <c r="F36" s="19" t="n"/>
      <c r="G36" s="15" t="n"/>
      <c r="H36" s="19" t="n"/>
      <c r="I36" s="23">
        <f>IF(OR(F36="",H36=""),"",H36-F36)</f>
        <v/>
      </c>
      <c r="J36" s="10" t="n"/>
    </row>
    <row r="37" ht="28" customHeight="1">
      <c r="A37" s="15" t="n"/>
      <c r="B37" s="15" t="n"/>
      <c r="C37" s="15" t="n"/>
      <c r="D37" s="10" t="n"/>
      <c r="E37" s="15" t="n"/>
      <c r="F37" s="19" t="n"/>
      <c r="G37" s="15" t="n"/>
      <c r="H37" s="19" t="n"/>
      <c r="I37" s="23">
        <f>IF(OR(F37="",H37=""),"",H37-F37)</f>
        <v/>
      </c>
      <c r="J37" s="10" t="n"/>
    </row>
  </sheetData>
  <mergeCells count="3">
    <mergeCell ref="A1:J1"/>
    <mergeCell ref="I4:J4"/>
    <mergeCell ref="A2:J2"/>
  </mergeCells>
  <dataValidations count="2">
    <dataValidation sqref="B7:B37" showDropDown="0" showInputMessage="0" showErrorMessage="0" allowBlank="1" type="list">
      <formula1>"リカバリ施策,再発防止策,お客様ご依頼,確認・調査,報告・調整"</formula1>
    </dataValidation>
    <dataValidation sqref="G7:G37" showDropDown="0" showInputMessage="0" showErrorMessage="0" allowBlank="1" type="list">
      <formula1>"未着手,対応中,完了,遅延"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  <col width="40" customWidth="1" min="10" max="10"/>
  </cols>
  <sheetData>
    <row r="1" ht="26" customHeight="1">
      <c r="A1" s="1" t="inlineStr">
        <is>
          <t>週次モニタリング（回復状況の定点報告）</t>
        </is>
      </c>
    </row>
    <row r="2" ht="16" customHeight="1">
      <c r="A2" s="2" t="inlineStr">
        <is>
          <t>計画確定後、毎週このシートを更新してお客様へご報告します。累計・達成率・差異は自動計算されます。</t>
        </is>
      </c>
    </row>
    <row r="4" ht="32" customHeight="1">
      <c r="A4" s="5" t="inlineStr">
        <is>
          <t>週No</t>
        </is>
      </c>
      <c r="B4" s="5" t="inlineStr">
        <is>
          <t>対象週（月曜）</t>
        </is>
      </c>
      <c r="C4" s="5" t="inlineStr">
        <is>
          <t>計画完了タスク数</t>
        </is>
      </c>
      <c r="D4" s="5" t="inlineStr">
        <is>
          <t>実績完了タスク数</t>
        </is>
      </c>
      <c r="E4" s="5" t="inlineStr">
        <is>
          <t>差異</t>
        </is>
      </c>
      <c r="F4" s="5" t="inlineStr">
        <is>
          <t>累計計画</t>
        </is>
      </c>
      <c r="G4" s="5" t="inlineStr">
        <is>
          <t>累計実績</t>
        </is>
      </c>
      <c r="H4" s="5" t="inlineStr">
        <is>
          <t>達成率</t>
        </is>
      </c>
      <c r="I4" s="5" t="inlineStr">
        <is>
          <t>遅延回復日数</t>
        </is>
      </c>
      <c r="J4" s="5" t="inlineStr">
        <is>
          <t>トピック・課題・お客様へのご依頼</t>
        </is>
      </c>
    </row>
    <row r="5" ht="30" customHeight="1">
      <c r="A5" s="27" t="inlineStr">
        <is>
          <t>W1</t>
        </is>
      </c>
      <c r="B5" s="28" t="n">
        <v>46195</v>
      </c>
      <c r="C5" s="27" t="n">
        <v>8</v>
      </c>
      <c r="D5" s="27" t="n">
        <v>6</v>
      </c>
      <c r="E5" s="27">
        <f>IF(OR(C5="",D5=""),"",D5-C5)</f>
        <v/>
      </c>
      <c r="F5" s="27">
        <f>IF(C5="","",C5)</f>
        <v/>
      </c>
      <c r="G5" s="27">
        <f>IF(D5="","",D5)</f>
        <v/>
      </c>
      <c r="H5" s="30">
        <f>IF(OR(F5="",F5=0,G5=""),"",G5/F5)</f>
        <v/>
      </c>
      <c r="I5" s="29" t="n">
        <v>-2</v>
      </c>
      <c r="J5" s="13" t="inlineStr">
        <is>
          <t>増員2名が6/24着任。立ち上がりに想定より時間を要し、2タスク未消化。翌週で挽回予定。</t>
        </is>
      </c>
    </row>
    <row r="6" ht="30" customHeight="1">
      <c r="A6" s="15" t="n"/>
      <c r="B6" s="19" t="n"/>
      <c r="C6" s="15" t="n"/>
      <c r="D6" s="15" t="n"/>
      <c r="E6" s="38">
        <f>IF(OR(C6="",D6=""),"",D6-C6)</f>
        <v/>
      </c>
      <c r="F6" s="38">
        <f>IF(C6="","",SUM($C$6:C6))</f>
        <v/>
      </c>
      <c r="G6" s="38">
        <f>IF(D6="","",SUM($D$6:D6))</f>
        <v/>
      </c>
      <c r="H6" s="26">
        <f>IF(OR(F6="",F6=0,G6=""),"",G6/F6)</f>
        <v/>
      </c>
      <c r="I6" s="33" t="n"/>
      <c r="J6" s="10" t="n"/>
    </row>
    <row r="7" ht="30" customHeight="1">
      <c r="A7" s="15" t="n"/>
      <c r="B7" s="19" t="n"/>
      <c r="C7" s="15" t="n"/>
      <c r="D7" s="15" t="n"/>
      <c r="E7" s="38">
        <f>IF(OR(C7="",D7=""),"",D7-C7)</f>
        <v/>
      </c>
      <c r="F7" s="38">
        <f>IF(C7="","",SUM($C$6:C7))</f>
        <v/>
      </c>
      <c r="G7" s="38">
        <f>IF(D7="","",SUM($D$6:D7))</f>
        <v/>
      </c>
      <c r="H7" s="26">
        <f>IF(OR(F7="",F7=0,G7=""),"",G7/F7)</f>
        <v/>
      </c>
      <c r="I7" s="33" t="n"/>
      <c r="J7" s="10" t="n"/>
    </row>
    <row r="8" ht="30" customHeight="1">
      <c r="A8" s="15" t="n"/>
      <c r="B8" s="19" t="n"/>
      <c r="C8" s="15" t="n"/>
      <c r="D8" s="15" t="n"/>
      <c r="E8" s="38">
        <f>IF(OR(C8="",D8=""),"",D8-C8)</f>
        <v/>
      </c>
      <c r="F8" s="38">
        <f>IF(C8="","",SUM($C$6:C8))</f>
        <v/>
      </c>
      <c r="G8" s="38">
        <f>IF(D8="","",SUM($D$6:D8))</f>
        <v/>
      </c>
      <c r="H8" s="26">
        <f>IF(OR(F8="",F8=0,G8=""),"",G8/F8)</f>
        <v/>
      </c>
      <c r="I8" s="33" t="n"/>
      <c r="J8" s="10" t="n"/>
    </row>
    <row r="9" ht="30" customHeight="1">
      <c r="A9" s="15" t="n"/>
      <c r="B9" s="19" t="n"/>
      <c r="C9" s="15" t="n"/>
      <c r="D9" s="15" t="n"/>
      <c r="E9" s="38">
        <f>IF(OR(C9="",D9=""),"",D9-C9)</f>
        <v/>
      </c>
      <c r="F9" s="38">
        <f>IF(C9="","",SUM($C$6:C9))</f>
        <v/>
      </c>
      <c r="G9" s="38">
        <f>IF(D9="","",SUM($D$6:D9))</f>
        <v/>
      </c>
      <c r="H9" s="26">
        <f>IF(OR(F9="",F9=0,G9=""),"",G9/F9)</f>
        <v/>
      </c>
      <c r="I9" s="33" t="n"/>
      <c r="J9" s="10" t="n"/>
    </row>
    <row r="10" ht="30" customHeight="1">
      <c r="A10" s="15" t="n"/>
      <c r="B10" s="19" t="n"/>
      <c r="C10" s="15" t="n"/>
      <c r="D10" s="15" t="n"/>
      <c r="E10" s="38">
        <f>IF(OR(C10="",D10=""),"",D10-C10)</f>
        <v/>
      </c>
      <c r="F10" s="38">
        <f>IF(C10="","",SUM($C$6:C10))</f>
        <v/>
      </c>
      <c r="G10" s="38">
        <f>IF(D10="","",SUM($D$6:D10))</f>
        <v/>
      </c>
      <c r="H10" s="26">
        <f>IF(OR(F10="",F10=0,G10=""),"",G10/F10)</f>
        <v/>
      </c>
      <c r="I10" s="33" t="n"/>
      <c r="J10" s="10" t="n"/>
    </row>
    <row r="11" ht="30" customHeight="1">
      <c r="A11" s="15" t="n"/>
      <c r="B11" s="19" t="n"/>
      <c r="C11" s="15" t="n"/>
      <c r="D11" s="15" t="n"/>
      <c r="E11" s="38">
        <f>IF(OR(C11="",D11=""),"",D11-C11)</f>
        <v/>
      </c>
      <c r="F11" s="38">
        <f>IF(C11="","",SUM($C$6:C11))</f>
        <v/>
      </c>
      <c r="G11" s="38">
        <f>IF(D11="","",SUM($D$6:D11))</f>
        <v/>
      </c>
      <c r="H11" s="26">
        <f>IF(OR(F11="",F11=0,G11=""),"",G11/F11)</f>
        <v/>
      </c>
      <c r="I11" s="33" t="n"/>
      <c r="J11" s="10" t="n"/>
    </row>
    <row r="12" ht="30" customHeight="1">
      <c r="A12" s="15" t="n"/>
      <c r="B12" s="19" t="n"/>
      <c r="C12" s="15" t="n"/>
      <c r="D12" s="15" t="n"/>
      <c r="E12" s="38">
        <f>IF(OR(C12="",D12=""),"",D12-C12)</f>
        <v/>
      </c>
      <c r="F12" s="38">
        <f>IF(C12="","",SUM($C$6:C12))</f>
        <v/>
      </c>
      <c r="G12" s="38">
        <f>IF(D12="","",SUM($D$6:D12))</f>
        <v/>
      </c>
      <c r="H12" s="26">
        <f>IF(OR(F12="",F12=0,G12=""),"",G12/F12)</f>
        <v/>
      </c>
      <c r="I12" s="33" t="n"/>
      <c r="J12" s="10" t="n"/>
    </row>
    <row r="13" ht="30" customHeight="1">
      <c r="A13" s="15" t="n"/>
      <c r="B13" s="19" t="n"/>
      <c r="C13" s="15" t="n"/>
      <c r="D13" s="15" t="n"/>
      <c r="E13" s="38">
        <f>IF(OR(C13="",D13=""),"",D13-C13)</f>
        <v/>
      </c>
      <c r="F13" s="38">
        <f>IF(C13="","",SUM($C$6:C13))</f>
        <v/>
      </c>
      <c r="G13" s="38">
        <f>IF(D13="","",SUM($D$6:D13))</f>
        <v/>
      </c>
      <c r="H13" s="26">
        <f>IF(OR(F13="",F13=0,G13=""),"",G13/F13)</f>
        <v/>
      </c>
      <c r="I13" s="33" t="n"/>
      <c r="J13" s="10" t="n"/>
    </row>
    <row r="14" ht="30" customHeight="1">
      <c r="A14" s="15" t="n"/>
      <c r="B14" s="19" t="n"/>
      <c r="C14" s="15" t="n"/>
      <c r="D14" s="15" t="n"/>
      <c r="E14" s="38">
        <f>IF(OR(C14="",D14=""),"",D14-C14)</f>
        <v/>
      </c>
      <c r="F14" s="38">
        <f>IF(C14="","",SUM($C$6:C14))</f>
        <v/>
      </c>
      <c r="G14" s="38">
        <f>IF(D14="","",SUM($D$6:D14))</f>
        <v/>
      </c>
      <c r="H14" s="26">
        <f>IF(OR(F14="",F14=0,G14=""),"",G14/F14)</f>
        <v/>
      </c>
      <c r="I14" s="33" t="n"/>
      <c r="J14" s="10" t="n"/>
    </row>
    <row r="15" ht="30" customHeight="1">
      <c r="A15" s="15" t="n"/>
      <c r="B15" s="19" t="n"/>
      <c r="C15" s="15" t="n"/>
      <c r="D15" s="15" t="n"/>
      <c r="E15" s="38">
        <f>IF(OR(C15="",D15=""),"",D15-C15)</f>
        <v/>
      </c>
      <c r="F15" s="38">
        <f>IF(C15="","",SUM($C$6:C15))</f>
        <v/>
      </c>
      <c r="G15" s="38">
        <f>IF(D15="","",SUM($D$6:D15))</f>
        <v/>
      </c>
      <c r="H15" s="26">
        <f>IF(OR(F15="",F15=0,G15=""),"",G15/F15)</f>
        <v/>
      </c>
      <c r="I15" s="33" t="n"/>
      <c r="J15" s="10" t="n"/>
    </row>
    <row r="16" ht="30" customHeight="1">
      <c r="A16" s="15" t="n"/>
      <c r="B16" s="19" t="n"/>
      <c r="C16" s="15" t="n"/>
      <c r="D16" s="15" t="n"/>
      <c r="E16" s="38">
        <f>IF(OR(C16="",D16=""),"",D16-C16)</f>
        <v/>
      </c>
      <c r="F16" s="38">
        <f>IF(C16="","",SUM($C$6:C16))</f>
        <v/>
      </c>
      <c r="G16" s="38">
        <f>IF(D16="","",SUM($D$6:D16))</f>
        <v/>
      </c>
      <c r="H16" s="26">
        <f>IF(OR(F16="",F16=0,G16=""),"",G16/F16)</f>
        <v/>
      </c>
      <c r="I16" s="33" t="n"/>
      <c r="J16" s="10" t="n"/>
    </row>
    <row r="17" ht="30" customHeight="1">
      <c r="A17" s="15" t="n"/>
      <c r="B17" s="19" t="n"/>
      <c r="C17" s="15" t="n"/>
      <c r="D17" s="15" t="n"/>
      <c r="E17" s="38">
        <f>IF(OR(C17="",D17=""),"",D17-C17)</f>
        <v/>
      </c>
      <c r="F17" s="38">
        <f>IF(C17="","",SUM($C$6:C17))</f>
        <v/>
      </c>
      <c r="G17" s="38">
        <f>IF(D17="","",SUM($D$6:D17))</f>
        <v/>
      </c>
      <c r="H17" s="26">
        <f>IF(OR(F17="",F17=0,G17=""),"",G17/F17)</f>
        <v/>
      </c>
      <c r="I17" s="33" t="n"/>
      <c r="J17" s="10" t="n"/>
    </row>
    <row r="18" ht="30" customHeight="1">
      <c r="A18" s="15" t="n"/>
      <c r="B18" s="19" t="n"/>
      <c r="C18" s="15" t="n"/>
      <c r="D18" s="15" t="n"/>
      <c r="E18" s="38">
        <f>IF(OR(C18="",D18=""),"",D18-C18)</f>
        <v/>
      </c>
      <c r="F18" s="38">
        <f>IF(C18="","",SUM($C$6:C18))</f>
        <v/>
      </c>
      <c r="G18" s="38">
        <f>IF(D18="","",SUM($D$6:D18))</f>
        <v/>
      </c>
      <c r="H18" s="26">
        <f>IF(OR(F18="",F18=0,G18=""),"",G18/F18)</f>
        <v/>
      </c>
      <c r="I18" s="33" t="n"/>
      <c r="J18" s="10" t="n"/>
    </row>
    <row r="19" ht="30" customHeight="1">
      <c r="A19" s="15" t="n"/>
      <c r="B19" s="19" t="n"/>
      <c r="C19" s="15" t="n"/>
      <c r="D19" s="15" t="n"/>
      <c r="E19" s="38">
        <f>IF(OR(C19="",D19=""),"",D19-C19)</f>
        <v/>
      </c>
      <c r="F19" s="38">
        <f>IF(C19="","",SUM($C$6:C19))</f>
        <v/>
      </c>
      <c r="G19" s="38">
        <f>IF(D19="","",SUM($D$6:D19))</f>
        <v/>
      </c>
      <c r="H19" s="26">
        <f>IF(OR(F19="",F19=0,G19=""),"",G19/F19)</f>
        <v/>
      </c>
      <c r="I19" s="33" t="n"/>
      <c r="J19" s="10" t="n"/>
    </row>
    <row r="20" ht="30" customHeight="1">
      <c r="A20" s="15" t="n"/>
      <c r="B20" s="19" t="n"/>
      <c r="C20" s="15" t="n"/>
      <c r="D20" s="15" t="n"/>
      <c r="E20" s="38">
        <f>IF(OR(C20="",D20=""),"",D20-C20)</f>
        <v/>
      </c>
      <c r="F20" s="38">
        <f>IF(C20="","",SUM($C$6:C20))</f>
        <v/>
      </c>
      <c r="G20" s="38">
        <f>IF(D20="","",SUM($D$6:D20))</f>
        <v/>
      </c>
      <c r="H20" s="26">
        <f>IF(OR(F20="",F20=0,G20=""),"",G20/F20)</f>
        <v/>
      </c>
      <c r="I20" s="33" t="n"/>
      <c r="J20" s="10" t="n"/>
    </row>
    <row r="21" ht="30" customHeight="1">
      <c r="A21" s="15" t="n"/>
      <c r="B21" s="19" t="n"/>
      <c r="C21" s="15" t="n"/>
      <c r="D21" s="15" t="n"/>
      <c r="E21" s="38">
        <f>IF(OR(C21="",D21=""),"",D21-C21)</f>
        <v/>
      </c>
      <c r="F21" s="38">
        <f>IF(C21="","",SUM($C$6:C21))</f>
        <v/>
      </c>
      <c r="G21" s="38">
        <f>IF(D21="","",SUM($D$6:D21))</f>
        <v/>
      </c>
      <c r="H21" s="26">
        <f>IF(OR(F21="",F21=0,G21=""),"",G21/F21)</f>
        <v/>
      </c>
      <c r="I21" s="33" t="n"/>
      <c r="J21" s="10" t="n"/>
    </row>
    <row r="22" ht="30" customHeight="1">
      <c r="A22" s="15" t="n"/>
      <c r="B22" s="19" t="n"/>
      <c r="C22" s="15" t="n"/>
      <c r="D22" s="15" t="n"/>
      <c r="E22" s="38">
        <f>IF(OR(C22="",D22=""),"",D22-C22)</f>
        <v/>
      </c>
      <c r="F22" s="38">
        <f>IF(C22="","",SUM($C$6:C22))</f>
        <v/>
      </c>
      <c r="G22" s="38">
        <f>IF(D22="","",SUM($D$6:D22))</f>
        <v/>
      </c>
      <c r="H22" s="26">
        <f>IF(OR(F22="",F22=0,G22=""),"",G22/F22)</f>
        <v/>
      </c>
      <c r="I22" s="33" t="n"/>
      <c r="J22" s="10" t="n"/>
    </row>
    <row r="23" ht="30" customHeight="1">
      <c r="A23" s="15" t="n"/>
      <c r="B23" s="19" t="n"/>
      <c r="C23" s="15" t="n"/>
      <c r="D23" s="15" t="n"/>
      <c r="E23" s="38">
        <f>IF(OR(C23="",D23=""),"",D23-C23)</f>
        <v/>
      </c>
      <c r="F23" s="38">
        <f>IF(C23="","",SUM($C$6:C23))</f>
        <v/>
      </c>
      <c r="G23" s="38">
        <f>IF(D23="","",SUM($D$6:D23))</f>
        <v/>
      </c>
      <c r="H23" s="26">
        <f>IF(OR(F23="",F23=0,G23=""),"",G23/F23)</f>
        <v/>
      </c>
      <c r="I23" s="33" t="n"/>
      <c r="J23" s="10" t="n"/>
    </row>
    <row r="24" ht="30" customHeight="1">
      <c r="A24" s="15" t="n"/>
      <c r="B24" s="19" t="n"/>
      <c r="C24" s="15" t="n"/>
      <c r="D24" s="15" t="n"/>
      <c r="E24" s="38">
        <f>IF(OR(C24="",D24=""),"",D24-C24)</f>
        <v/>
      </c>
      <c r="F24" s="38">
        <f>IF(C24="","",SUM($C$6:C24))</f>
        <v/>
      </c>
      <c r="G24" s="38">
        <f>IF(D24="","",SUM($D$6:D24))</f>
        <v/>
      </c>
      <c r="H24" s="26">
        <f>IF(OR(F24="",F24=0,G24=""),"",G24/F24)</f>
        <v/>
      </c>
      <c r="I24" s="33" t="n"/>
      <c r="J24" s="10" t="n"/>
    </row>
    <row r="25" ht="30" customHeight="1">
      <c r="A25" s="15" t="n"/>
      <c r="B25" s="19" t="n"/>
      <c r="C25" s="15" t="n"/>
      <c r="D25" s="15" t="n"/>
      <c r="E25" s="38">
        <f>IF(OR(C25="",D25=""),"",D25-C25)</f>
        <v/>
      </c>
      <c r="F25" s="38">
        <f>IF(C25="","",SUM($C$6:C25))</f>
        <v/>
      </c>
      <c r="G25" s="38">
        <f>IF(D25="","",SUM($D$6:D25))</f>
        <v/>
      </c>
      <c r="H25" s="26">
        <f>IF(OR(F25="",F25=0,G25=""),"",G25/F25)</f>
        <v/>
      </c>
      <c r="I25" s="33" t="n"/>
      <c r="J25" s="10" t="n"/>
    </row>
    <row r="26" ht="30" customHeight="1">
      <c r="A26" s="15" t="n"/>
      <c r="B26" s="19" t="n"/>
      <c r="C26" s="15" t="n"/>
      <c r="D26" s="15" t="n"/>
      <c r="E26" s="38">
        <f>IF(OR(C26="",D26=""),"",D26-C26)</f>
        <v/>
      </c>
      <c r="F26" s="38">
        <f>IF(C26="","",SUM($C$6:C26))</f>
        <v/>
      </c>
      <c r="G26" s="38">
        <f>IF(D26="","",SUM($D$6:D26))</f>
        <v/>
      </c>
      <c r="H26" s="26">
        <f>IF(OR(F26="",F26=0,G26=""),"",G26/F26)</f>
        <v/>
      </c>
      <c r="I26" s="33" t="n"/>
      <c r="J26" s="10" t="n"/>
    </row>
    <row r="27" ht="30" customHeight="1">
      <c r="A27" s="15" t="n"/>
      <c r="B27" s="19" t="n"/>
      <c r="C27" s="15" t="n"/>
      <c r="D27" s="15" t="n"/>
      <c r="E27" s="38">
        <f>IF(OR(C27="",D27=""),"",D27-C27)</f>
        <v/>
      </c>
      <c r="F27" s="38">
        <f>IF(C27="","",SUM($C$6:C27))</f>
        <v/>
      </c>
      <c r="G27" s="38">
        <f>IF(D27="","",SUM($D$6:D27))</f>
        <v/>
      </c>
      <c r="H27" s="26">
        <f>IF(OR(F27="",F27=0,G27=""),"",G27/F27)</f>
        <v/>
      </c>
      <c r="I27" s="33" t="n"/>
      <c r="J27" s="10" t="n"/>
    </row>
    <row r="28" ht="30" customHeight="1">
      <c r="A28" s="15" t="n"/>
      <c r="B28" s="19" t="n"/>
      <c r="C28" s="15" t="n"/>
      <c r="D28" s="15" t="n"/>
      <c r="E28" s="38">
        <f>IF(OR(C28="",D28=""),"",D28-C28)</f>
        <v/>
      </c>
      <c r="F28" s="38">
        <f>IF(C28="","",SUM($C$6:C28))</f>
        <v/>
      </c>
      <c r="G28" s="38">
        <f>IF(D28="","",SUM($D$6:D28))</f>
        <v/>
      </c>
      <c r="H28" s="26">
        <f>IF(OR(F28="",F28=0,G28=""),"",G28/F28)</f>
        <v/>
      </c>
      <c r="I28" s="33" t="n"/>
      <c r="J28" s="10" t="n"/>
    </row>
    <row r="29" ht="30" customHeight="1">
      <c r="A29" s="15" t="n"/>
      <c r="B29" s="19" t="n"/>
      <c r="C29" s="15" t="n"/>
      <c r="D29" s="15" t="n"/>
      <c r="E29" s="38">
        <f>IF(OR(C29="",D29=""),"",D29-C29)</f>
        <v/>
      </c>
      <c r="F29" s="38">
        <f>IF(C29="","",SUM($C$6:C29))</f>
        <v/>
      </c>
      <c r="G29" s="38">
        <f>IF(D29="","",SUM($D$6:D29))</f>
        <v/>
      </c>
      <c r="H29" s="26">
        <f>IF(OR(F29="",F29=0,G29=""),"",G29/F29)</f>
        <v/>
      </c>
      <c r="I29" s="33" t="n"/>
      <c r="J29" s="10" t="n"/>
    </row>
    <row r="30" ht="30" customHeight="1">
      <c r="A30" s="15" t="n"/>
      <c r="B30" s="19" t="n"/>
      <c r="C30" s="15" t="n"/>
      <c r="D30" s="15" t="n"/>
      <c r="E30" s="38">
        <f>IF(OR(C30="",D30=""),"",D30-C30)</f>
        <v/>
      </c>
      <c r="F30" s="38">
        <f>IF(C30="","",SUM($C$6:C30))</f>
        <v/>
      </c>
      <c r="G30" s="38">
        <f>IF(D30="","",SUM($D$6:D30))</f>
        <v/>
      </c>
      <c r="H30" s="26">
        <f>IF(OR(F30="",F30=0,G30=""),"",G30/F30)</f>
        <v/>
      </c>
      <c r="I30" s="33" t="n"/>
      <c r="J30" s="10" t="n"/>
    </row>
    <row r="31" ht="30" customHeight="1">
      <c r="A31" s="15" t="n"/>
      <c r="B31" s="19" t="n"/>
      <c r="C31" s="15" t="n"/>
      <c r="D31" s="15" t="n"/>
      <c r="E31" s="38">
        <f>IF(OR(C31="",D31=""),"",D31-C31)</f>
        <v/>
      </c>
      <c r="F31" s="38">
        <f>IF(C31="","",SUM($C$6:C31))</f>
        <v/>
      </c>
      <c r="G31" s="38">
        <f>IF(D31="","",SUM($D$6:D31))</f>
        <v/>
      </c>
      <c r="H31" s="26">
        <f>IF(OR(F31="",F31=0,G31=""),"",G31/F31)</f>
        <v/>
      </c>
      <c r="I31" s="33" t="n"/>
      <c r="J31" s="10" t="n"/>
    </row>
    <row r="33">
      <c r="A33" s="2" t="inlineStr">
        <is>
          <t>※「遅延回復日数」は、当初計画に対する遅れの増減をプラス（回復）／マイナス（悪化）で記入します。</t>
        </is>
      </c>
    </row>
  </sheetData>
  <mergeCells count="3">
    <mergeCell ref="A1:J1"/>
    <mergeCell ref="A33:J33"/>
    <mergeCell ref="A2:J2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2026-09-10T13:56:53Z</dcterms:created>
  <dcterms:modified xsi:type="dcterms:W3CDTF">2026-09-10T13:56:54Z</dcterms:modified>
</cp:coreProperties>
</file>